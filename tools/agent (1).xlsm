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F:\code\foundersearch\tools\"/>
    </mc:Choice>
  </mc:AlternateContent>
  <xr:revisionPtr revIDLastSave="0" documentId="13_ncr:1_{3121225E-46C1-43AA-B0D4-0AFC1848A699}" xr6:coauthVersionLast="47" xr6:coauthVersionMax="47" xr10:uidLastSave="{00000000-0000-0000-0000-000000000000}"/>
  <bookViews>
    <workbookView xWindow="-29685" yWindow="-14355" windowWidth="29685" windowHeight="32400" activeTab="8" xr2:uid="{00000000-000D-0000-FFFF-FFFF00000000}"/>
  </bookViews>
  <sheets>
    <sheet name="item" sheetId="20" r:id="rId1"/>
    <sheet name="Owners" sheetId="15" r:id="rId2"/>
    <sheet name="insurance" sheetId="14" r:id="rId3"/>
    <sheet name="Sheet8" sheetId="21" r:id="rId4"/>
    <sheet name="data" sheetId="23" r:id="rId5"/>
    <sheet name="Sheet1" sheetId="22" r:id="rId6"/>
    <sheet name="Sheet2" sheetId="24" r:id="rId7"/>
    <sheet name="printers" sheetId="25" r:id="rId8"/>
    <sheet name="blurbs" sheetId="26" r:id="rId9"/>
    <sheet name="Sheet4" sheetId="16" r:id="rId10"/>
    <sheet name="items" sheetId="13" r:id="rId11"/>
  </sheets>
  <functionGroups builtInGroupCount="19"/>
  <definedNames>
    <definedName name="curl">#REF!</definedName>
    <definedName name="endrow">#REF!</definedName>
    <definedName name="localWebPageAgentFile" localSheetId="4">data!$A$1:$B$203</definedName>
    <definedName name="startrow">#REF!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2" l="1"/>
  <c r="B4" i="22"/>
  <c r="B5" i="22"/>
  <c r="B6" i="22"/>
  <c r="B7" i="22"/>
  <c r="B8" i="22"/>
  <c r="B9" i="22"/>
  <c r="B10" i="22"/>
  <c r="B11" i="22"/>
  <c r="B12" i="22"/>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0" i="22"/>
  <c r="B141" i="22"/>
  <c r="B142" i="22"/>
  <c r="B143" i="22"/>
  <c r="B144" i="22"/>
  <c r="B145" i="22"/>
  <c r="B146" i="22"/>
  <c r="B147" i="22"/>
  <c r="B148" i="22"/>
  <c r="B149" i="22"/>
  <c r="B150" i="22"/>
  <c r="B151" i="22"/>
  <c r="B152" i="22"/>
  <c r="B153" i="22"/>
  <c r="B154" i="22"/>
  <c r="B155" i="22"/>
  <c r="B156" i="22"/>
  <c r="B157" i="22"/>
  <c r="B158" i="22"/>
  <c r="B159" i="22"/>
  <c r="B160" i="22"/>
  <c r="B161" i="22"/>
  <c r="B162" i="22"/>
  <c r="B163" i="22"/>
  <c r="B164" i="22"/>
  <c r="B165" i="22"/>
  <c r="B166" i="22"/>
  <c r="B167" i="22"/>
  <c r="B168" i="22"/>
  <c r="B169" i="22"/>
  <c r="B170" i="22"/>
  <c r="B171" i="22"/>
  <c r="B172" i="22"/>
  <c r="B173" i="22"/>
  <c r="B174" i="22"/>
  <c r="B175" i="22"/>
  <c r="B176" i="22"/>
  <c r="B177" i="22"/>
  <c r="B178" i="22"/>
  <c r="B179" i="22"/>
  <c r="B180" i="22"/>
  <c r="B181" i="22"/>
  <c r="B182" i="22"/>
  <c r="B183" i="22"/>
  <c r="B184" i="22"/>
  <c r="B185" i="22"/>
  <c r="B186" i="22"/>
  <c r="B187" i="22"/>
  <c r="B188" i="22"/>
  <c r="B189" i="22"/>
  <c r="B190" i="22"/>
  <c r="B191" i="22"/>
  <c r="B192" i="22"/>
  <c r="B193" i="22"/>
  <c r="B194" i="22"/>
  <c r="B195" i="22"/>
  <c r="B196" i="22"/>
  <c r="B197" i="22"/>
  <c r="B198" i="22"/>
  <c r="B199" i="22"/>
  <c r="B200" i="22"/>
  <c r="B201" i="22"/>
  <c r="B202" i="22"/>
  <c r="B203" i="22"/>
  <c r="B204" i="22"/>
  <c r="B205" i="22"/>
  <c r="B206" i="22"/>
  <c r="B207" i="22"/>
  <c r="B208" i="22"/>
  <c r="B209" i="22"/>
  <c r="B210" i="22"/>
  <c r="B211" i="22"/>
  <c r="B212" i="22"/>
  <c r="B213" i="22"/>
  <c r="B214" i="22"/>
  <c r="B215" i="22"/>
  <c r="B216" i="22"/>
  <c r="B217" i="22"/>
  <c r="B218" i="22"/>
  <c r="B219" i="22"/>
  <c r="B220" i="22"/>
  <c r="B221" i="22"/>
  <c r="B222" i="22"/>
  <c r="B223" i="22"/>
  <c r="B224" i="22"/>
  <c r="B225" i="22"/>
  <c r="B226" i="22"/>
  <c r="B227" i="22"/>
  <c r="B228" i="22"/>
  <c r="B229" i="22"/>
  <c r="B230" i="22"/>
  <c r="B231" i="22"/>
  <c r="B232" i="22"/>
  <c r="B233" i="22"/>
  <c r="B234" i="22"/>
  <c r="B235" i="22"/>
  <c r="B236" i="22"/>
  <c r="B237" i="22"/>
  <c r="B238" i="22"/>
  <c r="B239" i="22"/>
  <c r="B240" i="22"/>
  <c r="B241" i="22"/>
  <c r="B242" i="22"/>
  <c r="B243" i="22"/>
  <c r="B244" i="22"/>
  <c r="B245" i="22"/>
  <c r="B246" i="22"/>
  <c r="B247" i="22"/>
  <c r="B248" i="22"/>
  <c r="B2" i="22"/>
  <c r="L3" i="22"/>
  <c r="M3" i="22"/>
  <c r="L4" i="22"/>
  <c r="M4" i="22"/>
  <c r="L5" i="22"/>
  <c r="M5" i="22"/>
  <c r="L6" i="22"/>
  <c r="M6" i="22"/>
  <c r="L7" i="22"/>
  <c r="M7" i="22"/>
  <c r="L8" i="22"/>
  <c r="M8" i="22"/>
  <c r="L9" i="22"/>
  <c r="M9" i="22"/>
  <c r="L10" i="22"/>
  <c r="M10" i="22"/>
  <c r="L11" i="22"/>
  <c r="M11" i="22"/>
  <c r="L12" i="22"/>
  <c r="M12" i="22"/>
  <c r="L13" i="22"/>
  <c r="M13" i="22"/>
  <c r="L14" i="22"/>
  <c r="M14" i="22"/>
  <c r="L15" i="22"/>
  <c r="M15" i="22"/>
  <c r="L16" i="22"/>
  <c r="M16" i="22"/>
  <c r="L17" i="22"/>
  <c r="M17" i="22"/>
  <c r="L18" i="22"/>
  <c r="M18" i="22"/>
  <c r="L19" i="22"/>
  <c r="M19" i="22"/>
  <c r="L20" i="22"/>
  <c r="M20" i="22"/>
  <c r="L21" i="22"/>
  <c r="M21" i="22"/>
  <c r="L22" i="22"/>
  <c r="M22" i="22"/>
  <c r="L23" i="22"/>
  <c r="M23" i="22"/>
  <c r="L24" i="22"/>
  <c r="M24" i="22"/>
  <c r="L25" i="22"/>
  <c r="M25" i="22"/>
  <c r="L26" i="22"/>
  <c r="M26" i="22"/>
  <c r="L27" i="22"/>
  <c r="M27" i="22"/>
  <c r="L28" i="22"/>
  <c r="M28" i="22"/>
  <c r="L29" i="22"/>
  <c r="M29" i="22"/>
  <c r="L30" i="22"/>
  <c r="M30" i="22"/>
  <c r="L31" i="22"/>
  <c r="M31" i="22"/>
  <c r="L32" i="22"/>
  <c r="M32" i="22"/>
  <c r="L33" i="22"/>
  <c r="M33" i="22"/>
  <c r="L34" i="22"/>
  <c r="M34" i="22"/>
  <c r="L35" i="22"/>
  <c r="M35" i="22"/>
  <c r="L36" i="22"/>
  <c r="M36" i="22"/>
  <c r="L37" i="22"/>
  <c r="M37" i="22"/>
  <c r="L38" i="22"/>
  <c r="M38" i="22"/>
  <c r="L39" i="22"/>
  <c r="M39" i="22"/>
  <c r="L40" i="22"/>
  <c r="M40" i="22"/>
  <c r="L41" i="22"/>
  <c r="M41" i="22"/>
  <c r="L42" i="22"/>
  <c r="M42" i="22"/>
  <c r="L43" i="22"/>
  <c r="M43" i="22"/>
  <c r="L44" i="22"/>
  <c r="M44" i="22"/>
  <c r="L45" i="22"/>
  <c r="M45" i="22"/>
  <c r="L46" i="22"/>
  <c r="M46" i="22"/>
  <c r="L47" i="22"/>
  <c r="M47" i="22"/>
  <c r="L48" i="22"/>
  <c r="M48" i="22"/>
  <c r="L49" i="22"/>
  <c r="M49" i="22"/>
  <c r="L50" i="22"/>
  <c r="M50" i="22"/>
  <c r="L51" i="22"/>
  <c r="M51" i="22"/>
  <c r="L52" i="22"/>
  <c r="M52" i="22"/>
  <c r="L53" i="22"/>
  <c r="M53" i="22"/>
  <c r="L54" i="22"/>
  <c r="M54" i="22"/>
  <c r="L55" i="22"/>
  <c r="M55" i="22"/>
  <c r="L56" i="22"/>
  <c r="M56" i="22"/>
  <c r="L57" i="22"/>
  <c r="M57" i="22"/>
  <c r="L58" i="22"/>
  <c r="M58" i="22"/>
  <c r="L59" i="22"/>
  <c r="M59" i="22"/>
  <c r="L60" i="22"/>
  <c r="M60" i="22"/>
  <c r="L61" i="22"/>
  <c r="M61" i="22"/>
  <c r="L62" i="22"/>
  <c r="M62" i="22"/>
  <c r="L63" i="22"/>
  <c r="M63" i="22"/>
  <c r="L64" i="22"/>
  <c r="M64" i="22"/>
  <c r="L65" i="22"/>
  <c r="M65" i="22"/>
  <c r="L66" i="22"/>
  <c r="M66" i="22"/>
  <c r="L67" i="22"/>
  <c r="M67" i="22"/>
  <c r="L68" i="22"/>
  <c r="M68" i="22"/>
  <c r="L69" i="22"/>
  <c r="M69" i="22"/>
  <c r="L70" i="22"/>
  <c r="M70" i="22"/>
  <c r="L71" i="22"/>
  <c r="M71" i="22"/>
  <c r="L72" i="22"/>
  <c r="M72" i="22"/>
  <c r="L73" i="22"/>
  <c r="M73" i="22"/>
  <c r="L74" i="22"/>
  <c r="M74" i="22"/>
  <c r="L75" i="22"/>
  <c r="M75" i="22"/>
  <c r="L76" i="22"/>
  <c r="M76" i="22"/>
  <c r="L77" i="22"/>
  <c r="M77" i="22"/>
  <c r="L78" i="22"/>
  <c r="M78" i="22"/>
  <c r="L79" i="22"/>
  <c r="M79" i="22"/>
  <c r="L80" i="22"/>
  <c r="M80" i="22"/>
  <c r="L81" i="22"/>
  <c r="M81" i="22"/>
  <c r="L82" i="22"/>
  <c r="M82" i="22"/>
  <c r="L83" i="22"/>
  <c r="M83" i="22"/>
  <c r="L84" i="22"/>
  <c r="M84" i="22"/>
  <c r="L85" i="22"/>
  <c r="M85" i="22"/>
  <c r="L86" i="22"/>
  <c r="M86" i="22"/>
  <c r="L87" i="22"/>
  <c r="M87" i="22"/>
  <c r="L88" i="22"/>
  <c r="M88" i="22"/>
  <c r="L89" i="22"/>
  <c r="M89" i="22"/>
  <c r="L90" i="22"/>
  <c r="M90" i="22"/>
  <c r="L91" i="22"/>
  <c r="M91" i="22"/>
  <c r="L92" i="22"/>
  <c r="M92" i="22"/>
  <c r="L93" i="22"/>
  <c r="M93" i="22"/>
  <c r="L94" i="22"/>
  <c r="M94" i="22"/>
  <c r="L95" i="22"/>
  <c r="M95" i="22"/>
  <c r="L96" i="22"/>
  <c r="M96" i="22"/>
  <c r="L97" i="22"/>
  <c r="M97" i="22"/>
  <c r="L98" i="22"/>
  <c r="M98" i="22"/>
  <c r="L99" i="22"/>
  <c r="M99" i="22"/>
  <c r="L100" i="22"/>
  <c r="M100" i="22"/>
  <c r="L101" i="22"/>
  <c r="M101" i="22"/>
  <c r="L102" i="22"/>
  <c r="M102" i="22"/>
  <c r="L103" i="22"/>
  <c r="M103" i="22"/>
  <c r="L104" i="22"/>
  <c r="M104" i="22"/>
  <c r="L105" i="22"/>
  <c r="M105" i="22"/>
  <c r="L106" i="22"/>
  <c r="M106" i="22"/>
  <c r="L107" i="22"/>
  <c r="M107" i="22"/>
  <c r="L108" i="22"/>
  <c r="M108" i="22"/>
  <c r="L109" i="22"/>
  <c r="M109" i="22"/>
  <c r="L110" i="22"/>
  <c r="M110" i="22"/>
  <c r="L111" i="22"/>
  <c r="M111" i="22"/>
  <c r="L112" i="22"/>
  <c r="M112" i="22"/>
  <c r="L113" i="22"/>
  <c r="M113" i="22"/>
  <c r="L114" i="22"/>
  <c r="M114" i="22"/>
  <c r="L115" i="22"/>
  <c r="M115" i="22"/>
  <c r="L116" i="22"/>
  <c r="M116" i="22"/>
  <c r="L117" i="22"/>
  <c r="M117" i="22"/>
  <c r="L118" i="22"/>
  <c r="M118" i="22"/>
  <c r="L119" i="22"/>
  <c r="M119" i="22"/>
  <c r="L120" i="22"/>
  <c r="M120" i="22"/>
  <c r="L121" i="22"/>
  <c r="M121" i="22"/>
  <c r="L122" i="22"/>
  <c r="M122" i="22"/>
  <c r="L123" i="22"/>
  <c r="M123" i="22"/>
  <c r="L124" i="22"/>
  <c r="M124" i="22"/>
  <c r="L125" i="22"/>
  <c r="M125" i="22"/>
  <c r="L126" i="22"/>
  <c r="M126" i="22"/>
  <c r="L127" i="22"/>
  <c r="M127" i="22"/>
  <c r="L128" i="22"/>
  <c r="M128" i="22"/>
  <c r="L129" i="22"/>
  <c r="M129" i="22"/>
  <c r="L130" i="22"/>
  <c r="M130" i="22"/>
  <c r="L131" i="22"/>
  <c r="M131" i="22"/>
  <c r="L132" i="22"/>
  <c r="M132" i="22"/>
  <c r="L133" i="22"/>
  <c r="M133" i="22"/>
  <c r="L134" i="22"/>
  <c r="M134" i="22"/>
  <c r="L135" i="22"/>
  <c r="M135" i="22"/>
  <c r="L136" i="22"/>
  <c r="M136" i="22"/>
  <c r="L137" i="22"/>
  <c r="M137" i="22"/>
  <c r="L138" i="22"/>
  <c r="M138" i="22"/>
  <c r="L139" i="22"/>
  <c r="M139" i="22"/>
  <c r="L140" i="22"/>
  <c r="M140" i="22"/>
  <c r="L141" i="22"/>
  <c r="M141" i="22"/>
  <c r="L142" i="22"/>
  <c r="M142" i="22"/>
  <c r="L143" i="22"/>
  <c r="M143" i="22"/>
  <c r="L144" i="22"/>
  <c r="M144" i="22"/>
  <c r="L145" i="22"/>
  <c r="M145" i="22"/>
  <c r="L146" i="22"/>
  <c r="M146" i="22"/>
  <c r="L147" i="22"/>
  <c r="M147" i="22"/>
  <c r="L148" i="22"/>
  <c r="M148" i="22"/>
  <c r="L149" i="22"/>
  <c r="M149" i="22"/>
  <c r="L150" i="22"/>
  <c r="M150" i="22"/>
  <c r="L151" i="22"/>
  <c r="M151" i="22"/>
  <c r="L152" i="22"/>
  <c r="M152" i="22"/>
  <c r="L153" i="22"/>
  <c r="M153" i="22"/>
  <c r="L154" i="22"/>
  <c r="M154" i="22"/>
  <c r="L155" i="22"/>
  <c r="M155" i="22"/>
  <c r="L156" i="22"/>
  <c r="M156" i="22"/>
  <c r="L157" i="22"/>
  <c r="M157" i="22"/>
  <c r="L158" i="22"/>
  <c r="M158" i="22"/>
  <c r="L159" i="22"/>
  <c r="M159" i="22"/>
  <c r="L160" i="22"/>
  <c r="M160" i="22"/>
  <c r="L161" i="22"/>
  <c r="M161" i="22"/>
  <c r="L162" i="22"/>
  <c r="M162" i="22"/>
  <c r="L163" i="22"/>
  <c r="M163" i="22"/>
  <c r="L164" i="22"/>
  <c r="M164" i="22"/>
  <c r="L165" i="22"/>
  <c r="M165" i="22"/>
  <c r="L166" i="22"/>
  <c r="M166" i="22"/>
  <c r="L167" i="22"/>
  <c r="M167" i="22"/>
  <c r="L168" i="22"/>
  <c r="M168" i="22"/>
  <c r="L169" i="22"/>
  <c r="M169" i="22"/>
  <c r="L170" i="22"/>
  <c r="M170" i="22"/>
  <c r="L171" i="22"/>
  <c r="M171" i="22"/>
  <c r="L172" i="22"/>
  <c r="M172" i="22"/>
  <c r="L173" i="22"/>
  <c r="M173" i="22"/>
  <c r="L174" i="22"/>
  <c r="M174" i="22"/>
  <c r="L175" i="22"/>
  <c r="M175" i="22"/>
  <c r="L176" i="22"/>
  <c r="M176" i="22"/>
  <c r="L177" i="22"/>
  <c r="M177" i="22"/>
  <c r="L178" i="22"/>
  <c r="M178" i="22"/>
  <c r="L179" i="22"/>
  <c r="M179" i="22"/>
  <c r="L180" i="22"/>
  <c r="M180" i="22"/>
  <c r="L181" i="22"/>
  <c r="M181" i="22"/>
  <c r="L182" i="22"/>
  <c r="M182" i="22"/>
  <c r="L183" i="22"/>
  <c r="M183" i="22"/>
  <c r="L184" i="22"/>
  <c r="M184" i="22"/>
  <c r="L185" i="22"/>
  <c r="M185" i="22"/>
  <c r="L186" i="22"/>
  <c r="M186" i="22"/>
  <c r="L187" i="22"/>
  <c r="M187" i="22"/>
  <c r="L188" i="22"/>
  <c r="M188" i="22"/>
  <c r="L189" i="22"/>
  <c r="M189" i="22"/>
  <c r="L190" i="22"/>
  <c r="M190" i="22"/>
  <c r="L191" i="22"/>
  <c r="M191" i="22"/>
  <c r="L192" i="22"/>
  <c r="M192" i="22"/>
  <c r="L193" i="22"/>
  <c r="M193" i="22"/>
  <c r="L194" i="22"/>
  <c r="M194" i="22"/>
  <c r="L195" i="22"/>
  <c r="M195" i="22"/>
  <c r="L196" i="22"/>
  <c r="M196" i="22"/>
  <c r="L197" i="22"/>
  <c r="M197" i="22"/>
  <c r="L198" i="22"/>
  <c r="M198" i="22"/>
  <c r="L199" i="22"/>
  <c r="M199" i="22"/>
  <c r="L200" i="22"/>
  <c r="M200" i="22"/>
  <c r="L201" i="22"/>
  <c r="M201" i="22"/>
  <c r="L202" i="22"/>
  <c r="M202" i="22"/>
  <c r="L203" i="22"/>
  <c r="M203" i="22"/>
  <c r="L204" i="22"/>
  <c r="M204" i="22"/>
  <c r="L205" i="22"/>
  <c r="M205" i="22"/>
  <c r="L206" i="22"/>
  <c r="M206" i="22"/>
  <c r="L207" i="22"/>
  <c r="M207" i="22"/>
  <c r="L208" i="22"/>
  <c r="M208" i="22"/>
  <c r="L209" i="22"/>
  <c r="M209" i="22"/>
  <c r="L210" i="22"/>
  <c r="M210" i="22"/>
  <c r="L211" i="22"/>
  <c r="M211" i="22"/>
  <c r="L212" i="22"/>
  <c r="M212" i="22"/>
  <c r="L213" i="22"/>
  <c r="M213" i="22"/>
  <c r="L214" i="22"/>
  <c r="M214" i="22"/>
  <c r="L215" i="22"/>
  <c r="M215" i="22"/>
  <c r="L216" i="22"/>
  <c r="M216" i="22"/>
  <c r="L217" i="22"/>
  <c r="M217" i="22"/>
  <c r="L218" i="22"/>
  <c r="M218" i="22"/>
  <c r="L219" i="22"/>
  <c r="M219" i="22"/>
  <c r="L220" i="22"/>
  <c r="M220" i="22"/>
  <c r="L221" i="22"/>
  <c r="M221" i="22"/>
  <c r="L222" i="22"/>
  <c r="M222" i="22"/>
  <c r="L223" i="22"/>
  <c r="M223" i="22"/>
  <c r="L224" i="22"/>
  <c r="M224" i="22"/>
  <c r="L225" i="22"/>
  <c r="M225" i="22"/>
  <c r="L226" i="22"/>
  <c r="M226" i="22"/>
  <c r="L227" i="22"/>
  <c r="M227" i="22"/>
  <c r="L228" i="22"/>
  <c r="M228" i="22"/>
  <c r="L229" i="22"/>
  <c r="M229" i="22"/>
  <c r="L230" i="22"/>
  <c r="M230" i="22"/>
  <c r="L231" i="22"/>
  <c r="M231" i="22"/>
  <c r="L232" i="22"/>
  <c r="M232" i="22"/>
  <c r="L233" i="22"/>
  <c r="M233" i="22"/>
  <c r="L234" i="22"/>
  <c r="M234" i="22"/>
  <c r="L235" i="22"/>
  <c r="M235" i="22"/>
  <c r="L236" i="22"/>
  <c r="M236" i="22"/>
  <c r="L237" i="22"/>
  <c r="M237" i="22"/>
  <c r="L238" i="22"/>
  <c r="M238" i="22"/>
  <c r="L239" i="22"/>
  <c r="M239" i="22"/>
  <c r="L240" i="22"/>
  <c r="M240" i="22"/>
  <c r="L241" i="22"/>
  <c r="M241" i="22"/>
  <c r="L242" i="22"/>
  <c r="M242" i="22"/>
  <c r="L243" i="22"/>
  <c r="M243" i="22"/>
  <c r="L244" i="22"/>
  <c r="M244" i="22"/>
  <c r="L245" i="22"/>
  <c r="M245" i="22"/>
  <c r="L246" i="22"/>
  <c r="M246" i="22"/>
  <c r="L247" i="22"/>
  <c r="M247" i="22"/>
  <c r="L248" i="22"/>
  <c r="M248" i="22"/>
  <c r="M2" i="22"/>
  <c r="L2" i="22"/>
  <c r="F18" i="14"/>
  <c r="F19" i="14"/>
  <c r="F20" i="14"/>
  <c r="F21" i="14"/>
  <c r="F22" i="14"/>
  <c r="F23" i="14"/>
  <c r="F24" i="14"/>
  <c r="F25" i="14"/>
  <c r="F26" i="14"/>
  <c r="F27" i="14"/>
  <c r="F28" i="14"/>
  <c r="F29" i="14"/>
  <c r="F30" i="14"/>
  <c r="F31" i="14"/>
  <c r="F32" i="14"/>
  <c r="F33" i="14"/>
  <c r="F34" i="14"/>
  <c r="F35" i="14"/>
  <c r="F36" i="14"/>
  <c r="F37" i="14"/>
  <c r="F38" i="14"/>
  <c r="F39" i="14"/>
  <c r="F40" i="14"/>
  <c r="F17" i="14"/>
  <c r="H18" i="14"/>
  <c r="I18" i="14"/>
  <c r="J18" i="14"/>
  <c r="K18" i="14"/>
  <c r="L18" i="14"/>
  <c r="M18" i="14"/>
  <c r="N18" i="14"/>
  <c r="O18" i="14"/>
  <c r="P18" i="14"/>
  <c r="Q18" i="14"/>
  <c r="R18" i="14"/>
  <c r="S18" i="14"/>
  <c r="T18" i="14"/>
  <c r="U18" i="14"/>
  <c r="V18" i="14"/>
  <c r="H19" i="14"/>
  <c r="I19" i="14"/>
  <c r="J19" i="14"/>
  <c r="K19" i="14"/>
  <c r="L19" i="14"/>
  <c r="M19" i="14"/>
  <c r="N19" i="14"/>
  <c r="O19" i="14"/>
  <c r="P19" i="14"/>
  <c r="Q19" i="14"/>
  <c r="R19" i="14"/>
  <c r="S19" i="14"/>
  <c r="T19" i="14"/>
  <c r="U19" i="14"/>
  <c r="V19" i="14"/>
  <c r="H20" i="14"/>
  <c r="I20" i="14"/>
  <c r="J20" i="14"/>
  <c r="K20" i="14"/>
  <c r="L20" i="14"/>
  <c r="M20" i="14"/>
  <c r="N20" i="14"/>
  <c r="O20" i="14"/>
  <c r="P20" i="14"/>
  <c r="Q20" i="14"/>
  <c r="R20" i="14"/>
  <c r="S20" i="14"/>
  <c r="T20" i="14"/>
  <c r="U20" i="14"/>
  <c r="V20" i="14"/>
  <c r="H21" i="14"/>
  <c r="I21" i="14"/>
  <c r="J21" i="14"/>
  <c r="K21" i="14"/>
  <c r="L21" i="14"/>
  <c r="M21" i="14"/>
  <c r="N21" i="14"/>
  <c r="O21" i="14"/>
  <c r="P21" i="14"/>
  <c r="Q21" i="14"/>
  <c r="R21" i="14"/>
  <c r="S21" i="14"/>
  <c r="T21" i="14"/>
  <c r="U21" i="14"/>
  <c r="V21" i="14"/>
  <c r="H22" i="14"/>
  <c r="I22" i="14"/>
  <c r="J22" i="14"/>
  <c r="K22" i="14"/>
  <c r="L22" i="14"/>
  <c r="M22" i="14"/>
  <c r="N22" i="14"/>
  <c r="O22" i="14"/>
  <c r="P22" i="14"/>
  <c r="Q22" i="14"/>
  <c r="R22" i="14"/>
  <c r="S22" i="14"/>
  <c r="T22" i="14"/>
  <c r="U22" i="14"/>
  <c r="V22" i="14"/>
  <c r="H23" i="14"/>
  <c r="I23" i="14"/>
  <c r="J23" i="14"/>
  <c r="K23" i="14"/>
  <c r="L23" i="14"/>
  <c r="M23" i="14"/>
  <c r="N23" i="14"/>
  <c r="O23" i="14"/>
  <c r="P23" i="14"/>
  <c r="Q23" i="14"/>
  <c r="R23" i="14"/>
  <c r="S23" i="14"/>
  <c r="T23" i="14"/>
  <c r="U23" i="14"/>
  <c r="V23" i="14"/>
  <c r="H24" i="14"/>
  <c r="I24" i="14"/>
  <c r="J24" i="14"/>
  <c r="K24" i="14"/>
  <c r="L24" i="14"/>
  <c r="M24" i="14"/>
  <c r="N24" i="14"/>
  <c r="O24" i="14"/>
  <c r="P24" i="14"/>
  <c r="Q24" i="14"/>
  <c r="R24" i="14"/>
  <c r="S24" i="14"/>
  <c r="T24" i="14"/>
  <c r="U24" i="14"/>
  <c r="V24" i="14"/>
  <c r="H25" i="14"/>
  <c r="I25" i="14"/>
  <c r="J25" i="14"/>
  <c r="K25" i="14"/>
  <c r="L25" i="14"/>
  <c r="M25" i="14"/>
  <c r="N25" i="14"/>
  <c r="O25" i="14"/>
  <c r="P25" i="14"/>
  <c r="Q25" i="14"/>
  <c r="R25" i="14"/>
  <c r="S25" i="14"/>
  <c r="T25" i="14"/>
  <c r="U25" i="14"/>
  <c r="V25" i="14"/>
  <c r="H26" i="14"/>
  <c r="I26" i="14"/>
  <c r="J26" i="14"/>
  <c r="K26" i="14"/>
  <c r="L26" i="14"/>
  <c r="M26" i="14"/>
  <c r="N26" i="14"/>
  <c r="O26" i="14"/>
  <c r="P26" i="14"/>
  <c r="Q26" i="14"/>
  <c r="R26" i="14"/>
  <c r="S26" i="14"/>
  <c r="T26" i="14"/>
  <c r="U26" i="14"/>
  <c r="V26" i="14"/>
  <c r="H27" i="14"/>
  <c r="I27" i="14"/>
  <c r="J27" i="14"/>
  <c r="K27" i="14"/>
  <c r="L27" i="14"/>
  <c r="M27" i="14"/>
  <c r="N27" i="14"/>
  <c r="O27" i="14"/>
  <c r="P27" i="14"/>
  <c r="Q27" i="14"/>
  <c r="R27" i="14"/>
  <c r="S27" i="14"/>
  <c r="T27" i="14"/>
  <c r="U27" i="14"/>
  <c r="V27" i="14"/>
  <c r="H28" i="14"/>
  <c r="I28" i="14"/>
  <c r="J28" i="14"/>
  <c r="K28" i="14"/>
  <c r="L28" i="14"/>
  <c r="M28" i="14"/>
  <c r="N28" i="14"/>
  <c r="O28" i="14"/>
  <c r="P28" i="14"/>
  <c r="Q28" i="14"/>
  <c r="R28" i="14"/>
  <c r="S28" i="14"/>
  <c r="T28" i="14"/>
  <c r="U28" i="14"/>
  <c r="V28" i="14"/>
  <c r="H29" i="14"/>
  <c r="I29" i="14"/>
  <c r="J29" i="14"/>
  <c r="K29" i="14"/>
  <c r="L29" i="14"/>
  <c r="M29" i="14"/>
  <c r="N29" i="14"/>
  <c r="O29" i="14"/>
  <c r="P29" i="14"/>
  <c r="Q29" i="14"/>
  <c r="R29" i="14"/>
  <c r="S29" i="14"/>
  <c r="T29" i="14"/>
  <c r="U29" i="14"/>
  <c r="V29" i="14"/>
  <c r="H30" i="14"/>
  <c r="I30" i="14"/>
  <c r="J30" i="14"/>
  <c r="K30" i="14"/>
  <c r="L30" i="14"/>
  <c r="M30" i="14"/>
  <c r="N30" i="14"/>
  <c r="O30" i="14"/>
  <c r="P30" i="14"/>
  <c r="Q30" i="14"/>
  <c r="R30" i="14"/>
  <c r="S30" i="14"/>
  <c r="T30" i="14"/>
  <c r="U30" i="14"/>
  <c r="V30" i="14"/>
  <c r="H31" i="14"/>
  <c r="I31" i="14"/>
  <c r="J31" i="14"/>
  <c r="K31" i="14"/>
  <c r="L31" i="14"/>
  <c r="M31" i="14"/>
  <c r="N31" i="14"/>
  <c r="O31" i="14"/>
  <c r="P31" i="14"/>
  <c r="Q31" i="14"/>
  <c r="R31" i="14"/>
  <c r="S31" i="14"/>
  <c r="T31" i="14"/>
  <c r="U31" i="14"/>
  <c r="V31" i="14"/>
  <c r="H32" i="14"/>
  <c r="I32" i="14"/>
  <c r="J32" i="14"/>
  <c r="K32" i="14"/>
  <c r="L32" i="14"/>
  <c r="M32" i="14"/>
  <c r="N32" i="14"/>
  <c r="O32" i="14"/>
  <c r="P32" i="14"/>
  <c r="Q32" i="14"/>
  <c r="R32" i="14"/>
  <c r="S32" i="14"/>
  <c r="T32" i="14"/>
  <c r="U32" i="14"/>
  <c r="V32" i="14"/>
  <c r="H33" i="14"/>
  <c r="I33" i="14"/>
  <c r="J33" i="14"/>
  <c r="K33" i="14"/>
  <c r="L33" i="14"/>
  <c r="M33" i="14"/>
  <c r="N33" i="14"/>
  <c r="O33" i="14"/>
  <c r="P33" i="14"/>
  <c r="Q33" i="14"/>
  <c r="R33" i="14"/>
  <c r="S33" i="14"/>
  <c r="T33" i="14"/>
  <c r="U33" i="14"/>
  <c r="V33" i="14"/>
  <c r="H34" i="14"/>
  <c r="I34" i="14"/>
  <c r="J34" i="14"/>
  <c r="K34" i="14"/>
  <c r="L34" i="14"/>
  <c r="M34" i="14"/>
  <c r="N34" i="14"/>
  <c r="O34" i="14"/>
  <c r="P34" i="14"/>
  <c r="Q34" i="14"/>
  <c r="R34" i="14"/>
  <c r="S34" i="14"/>
  <c r="T34" i="14"/>
  <c r="U34" i="14"/>
  <c r="V34" i="14"/>
  <c r="H35" i="14"/>
  <c r="I35" i="14"/>
  <c r="J35" i="14"/>
  <c r="K35" i="14"/>
  <c r="L35" i="14"/>
  <c r="M35" i="14"/>
  <c r="N35" i="14"/>
  <c r="O35" i="14"/>
  <c r="P35" i="14"/>
  <c r="Q35" i="14"/>
  <c r="R35" i="14"/>
  <c r="S35" i="14"/>
  <c r="T35" i="14"/>
  <c r="U35" i="14"/>
  <c r="V35" i="14"/>
  <c r="H36" i="14"/>
  <c r="I36" i="14"/>
  <c r="J36" i="14"/>
  <c r="K36" i="14"/>
  <c r="L36" i="14"/>
  <c r="M36" i="14"/>
  <c r="N36" i="14"/>
  <c r="O36" i="14"/>
  <c r="P36" i="14"/>
  <c r="Q36" i="14"/>
  <c r="R36" i="14"/>
  <c r="S36" i="14"/>
  <c r="T36" i="14"/>
  <c r="U36" i="14"/>
  <c r="V36" i="14"/>
  <c r="H37" i="14"/>
  <c r="I37" i="14"/>
  <c r="J37" i="14"/>
  <c r="K37" i="14"/>
  <c r="L37" i="14"/>
  <c r="M37" i="14"/>
  <c r="N37" i="14"/>
  <c r="O37" i="14"/>
  <c r="P37" i="14"/>
  <c r="Q37" i="14"/>
  <c r="R37" i="14"/>
  <c r="S37" i="14"/>
  <c r="T37" i="14"/>
  <c r="U37" i="14"/>
  <c r="V37" i="14"/>
  <c r="H38" i="14"/>
  <c r="I38" i="14"/>
  <c r="J38" i="14"/>
  <c r="K38" i="14"/>
  <c r="L38" i="14"/>
  <c r="M38" i="14"/>
  <c r="N38" i="14"/>
  <c r="O38" i="14"/>
  <c r="P38" i="14"/>
  <c r="Q38" i="14"/>
  <c r="R38" i="14"/>
  <c r="S38" i="14"/>
  <c r="T38" i="14"/>
  <c r="U38" i="14"/>
  <c r="V38" i="14"/>
  <c r="H39" i="14"/>
  <c r="I39" i="14"/>
  <c r="J39" i="14"/>
  <c r="K39" i="14"/>
  <c r="L39" i="14"/>
  <c r="M39" i="14"/>
  <c r="N39" i="14"/>
  <c r="O39" i="14"/>
  <c r="P39" i="14"/>
  <c r="Q39" i="14"/>
  <c r="R39" i="14"/>
  <c r="S39" i="14"/>
  <c r="T39" i="14"/>
  <c r="U39" i="14"/>
  <c r="V39" i="14"/>
  <c r="H40" i="14"/>
  <c r="I40" i="14"/>
  <c r="J40" i="14"/>
  <c r="K40" i="14"/>
  <c r="L40" i="14"/>
  <c r="M40" i="14"/>
  <c r="N40" i="14"/>
  <c r="O40" i="14"/>
  <c r="P40" i="14"/>
  <c r="Q40" i="14"/>
  <c r="R40" i="14"/>
  <c r="S40" i="14"/>
  <c r="T40" i="14"/>
  <c r="U40" i="14"/>
  <c r="V40" i="14"/>
  <c r="I17" i="14"/>
  <c r="J17" i="14"/>
  <c r="K17" i="14"/>
  <c r="L17" i="14"/>
  <c r="M17" i="14"/>
  <c r="N17" i="14"/>
  <c r="O17" i="14"/>
  <c r="P17" i="14"/>
  <c r="Q17" i="14"/>
  <c r="R17" i="14"/>
  <c r="S17" i="14"/>
  <c r="T17" i="14"/>
  <c r="U17" i="14"/>
  <c r="V17" i="14"/>
  <c r="H17" i="14"/>
  <c r="W16" i="14"/>
  <c r="X16" i="14" s="1"/>
  <c r="H18" i="21"/>
  <c r="I18" i="21"/>
  <c r="J18" i="21"/>
  <c r="K18" i="21"/>
  <c r="L18" i="21"/>
  <c r="M18" i="21"/>
  <c r="N18" i="21"/>
  <c r="O18" i="21"/>
  <c r="P18" i="21"/>
  <c r="Q18" i="21"/>
  <c r="R18" i="21"/>
  <c r="S18" i="21"/>
  <c r="T18" i="21"/>
  <c r="U18" i="21"/>
  <c r="V18" i="21"/>
  <c r="H19" i="21"/>
  <c r="I19" i="21"/>
  <c r="J19" i="21"/>
  <c r="K19" i="21"/>
  <c r="L19" i="21"/>
  <c r="M19" i="21"/>
  <c r="N19" i="21"/>
  <c r="O19" i="21"/>
  <c r="P19" i="21"/>
  <c r="Q19" i="21"/>
  <c r="R19" i="21"/>
  <c r="S19" i="21"/>
  <c r="T19" i="21"/>
  <c r="U19" i="21"/>
  <c r="V19" i="21"/>
  <c r="H20" i="21"/>
  <c r="I20" i="21"/>
  <c r="J20" i="21"/>
  <c r="K20" i="21"/>
  <c r="L20" i="21"/>
  <c r="M20" i="21"/>
  <c r="N20" i="21"/>
  <c r="O20" i="21"/>
  <c r="P20" i="21"/>
  <c r="Q20" i="21"/>
  <c r="R20" i="21"/>
  <c r="S20" i="21"/>
  <c r="T20" i="21"/>
  <c r="U20" i="21"/>
  <c r="V20" i="21"/>
  <c r="H21" i="21"/>
  <c r="I21" i="21"/>
  <c r="J21" i="21"/>
  <c r="K21" i="21"/>
  <c r="L21" i="21"/>
  <c r="M21" i="21"/>
  <c r="N21" i="21"/>
  <c r="O21" i="21"/>
  <c r="P21" i="21"/>
  <c r="Q21" i="21"/>
  <c r="R21" i="21"/>
  <c r="S21" i="21"/>
  <c r="T21" i="21"/>
  <c r="U21" i="21"/>
  <c r="V21" i="21"/>
  <c r="H22" i="21"/>
  <c r="I22" i="21"/>
  <c r="J22" i="21"/>
  <c r="K22" i="21"/>
  <c r="L22" i="21"/>
  <c r="M22" i="21"/>
  <c r="N22" i="21"/>
  <c r="O22" i="21"/>
  <c r="P22" i="21"/>
  <c r="Q22" i="21"/>
  <c r="R22" i="21"/>
  <c r="S22" i="21"/>
  <c r="T22" i="21"/>
  <c r="U22" i="21"/>
  <c r="V22" i="21"/>
  <c r="H23" i="21"/>
  <c r="I23" i="21"/>
  <c r="J23" i="21"/>
  <c r="K23" i="21"/>
  <c r="L23" i="21"/>
  <c r="M23" i="21"/>
  <c r="N23" i="21"/>
  <c r="O23" i="21"/>
  <c r="P23" i="21"/>
  <c r="Q23" i="21"/>
  <c r="R23" i="21"/>
  <c r="S23" i="21"/>
  <c r="T23" i="21"/>
  <c r="U23" i="21"/>
  <c r="V23" i="21"/>
  <c r="H24" i="21"/>
  <c r="I24" i="21"/>
  <c r="J24" i="21"/>
  <c r="K24" i="21"/>
  <c r="L24" i="21"/>
  <c r="M24" i="21"/>
  <c r="N24" i="21"/>
  <c r="O24" i="21"/>
  <c r="P24" i="21"/>
  <c r="Q24" i="21"/>
  <c r="R24" i="21"/>
  <c r="S24" i="21"/>
  <c r="T24" i="21"/>
  <c r="U24" i="21"/>
  <c r="V24" i="21"/>
  <c r="H25" i="21"/>
  <c r="I25" i="21"/>
  <c r="J25" i="21"/>
  <c r="K25" i="21"/>
  <c r="L25" i="21"/>
  <c r="M25" i="21"/>
  <c r="N25" i="21"/>
  <c r="O25" i="21"/>
  <c r="P25" i="21"/>
  <c r="Q25" i="21"/>
  <c r="R25" i="21"/>
  <c r="S25" i="21"/>
  <c r="T25" i="21"/>
  <c r="U25" i="21"/>
  <c r="V25" i="21"/>
  <c r="H26" i="21"/>
  <c r="I26" i="21"/>
  <c r="J26" i="21"/>
  <c r="K26" i="21"/>
  <c r="L26" i="21"/>
  <c r="M26" i="21"/>
  <c r="N26" i="21"/>
  <c r="O26" i="21"/>
  <c r="P26" i="21"/>
  <c r="Q26" i="21"/>
  <c r="R26" i="21"/>
  <c r="S26" i="21"/>
  <c r="T26" i="21"/>
  <c r="U26" i="21"/>
  <c r="V26" i="21"/>
  <c r="H27" i="21"/>
  <c r="I27" i="21"/>
  <c r="J27" i="21"/>
  <c r="K27" i="21"/>
  <c r="L27" i="21"/>
  <c r="M27" i="21"/>
  <c r="N27" i="21"/>
  <c r="O27" i="21"/>
  <c r="P27" i="21"/>
  <c r="Q27" i="21"/>
  <c r="R27" i="21"/>
  <c r="S27" i="21"/>
  <c r="T27" i="21"/>
  <c r="U27" i="21"/>
  <c r="V27" i="21"/>
  <c r="H28" i="21"/>
  <c r="I28" i="21"/>
  <c r="J28" i="21"/>
  <c r="K28" i="21"/>
  <c r="L28" i="21"/>
  <c r="M28" i="21"/>
  <c r="N28" i="21"/>
  <c r="O28" i="21"/>
  <c r="P28" i="21"/>
  <c r="Q28" i="21"/>
  <c r="R28" i="21"/>
  <c r="S28" i="21"/>
  <c r="T28" i="21"/>
  <c r="U28" i="21"/>
  <c r="V28" i="21"/>
  <c r="H29" i="21"/>
  <c r="I29" i="21"/>
  <c r="J29" i="21"/>
  <c r="K29" i="21"/>
  <c r="L29" i="21"/>
  <c r="M29" i="21"/>
  <c r="N29" i="21"/>
  <c r="O29" i="21"/>
  <c r="P29" i="21"/>
  <c r="Q29" i="21"/>
  <c r="R29" i="21"/>
  <c r="S29" i="21"/>
  <c r="T29" i="21"/>
  <c r="U29" i="21"/>
  <c r="V29" i="21"/>
  <c r="H30" i="21"/>
  <c r="I30" i="21"/>
  <c r="J30" i="21"/>
  <c r="K30" i="21"/>
  <c r="L30" i="21"/>
  <c r="M30" i="21"/>
  <c r="N30" i="21"/>
  <c r="O30" i="21"/>
  <c r="P30" i="21"/>
  <c r="Q30" i="21"/>
  <c r="R30" i="21"/>
  <c r="S30" i="21"/>
  <c r="T30" i="21"/>
  <c r="U30" i="21"/>
  <c r="V30" i="21"/>
  <c r="H31" i="21"/>
  <c r="I31" i="21"/>
  <c r="J31" i="21"/>
  <c r="K31" i="21"/>
  <c r="L31" i="21"/>
  <c r="M31" i="21"/>
  <c r="N31" i="21"/>
  <c r="O31" i="21"/>
  <c r="P31" i="21"/>
  <c r="Q31" i="21"/>
  <c r="R31" i="21"/>
  <c r="S31" i="21"/>
  <c r="T31" i="21"/>
  <c r="U31" i="21"/>
  <c r="V31" i="21"/>
  <c r="H32" i="21"/>
  <c r="I32" i="21"/>
  <c r="J32" i="21"/>
  <c r="K32" i="21"/>
  <c r="L32" i="21"/>
  <c r="M32" i="21"/>
  <c r="N32" i="21"/>
  <c r="O32" i="21"/>
  <c r="P32" i="21"/>
  <c r="Q32" i="21"/>
  <c r="R32" i="21"/>
  <c r="S32" i="21"/>
  <c r="T32" i="21"/>
  <c r="U32" i="21"/>
  <c r="V32" i="21"/>
  <c r="H33" i="21"/>
  <c r="I33" i="21"/>
  <c r="J33" i="21"/>
  <c r="K33" i="21"/>
  <c r="L33" i="21"/>
  <c r="M33" i="21"/>
  <c r="N33" i="21"/>
  <c r="O33" i="21"/>
  <c r="P33" i="21"/>
  <c r="Q33" i="21"/>
  <c r="R33" i="21"/>
  <c r="S33" i="21"/>
  <c r="T33" i="21"/>
  <c r="U33" i="21"/>
  <c r="V33" i="21"/>
  <c r="H34" i="21"/>
  <c r="I34" i="21"/>
  <c r="J34" i="21"/>
  <c r="K34" i="21"/>
  <c r="L34" i="21"/>
  <c r="M34" i="21"/>
  <c r="N34" i="21"/>
  <c r="O34" i="21"/>
  <c r="P34" i="21"/>
  <c r="Q34" i="21"/>
  <c r="R34" i="21"/>
  <c r="S34" i="21"/>
  <c r="T34" i="21"/>
  <c r="U34" i="21"/>
  <c r="V34" i="21"/>
  <c r="H35" i="21"/>
  <c r="I35" i="21"/>
  <c r="J35" i="21"/>
  <c r="K35" i="21"/>
  <c r="L35" i="21"/>
  <c r="M35" i="21"/>
  <c r="N35" i="21"/>
  <c r="O35" i="21"/>
  <c r="P35" i="21"/>
  <c r="Q35" i="21"/>
  <c r="R35" i="21"/>
  <c r="S35" i="21"/>
  <c r="T35" i="21"/>
  <c r="U35" i="21"/>
  <c r="V35" i="21"/>
  <c r="H36" i="21"/>
  <c r="I36" i="21"/>
  <c r="J36" i="21"/>
  <c r="K36" i="21"/>
  <c r="L36" i="21"/>
  <c r="M36" i="21"/>
  <c r="N36" i="21"/>
  <c r="O36" i="21"/>
  <c r="P36" i="21"/>
  <c r="Q36" i="21"/>
  <c r="R36" i="21"/>
  <c r="S36" i="21"/>
  <c r="T36" i="21"/>
  <c r="U36" i="21"/>
  <c r="V36" i="21"/>
  <c r="H37" i="21"/>
  <c r="I37" i="21"/>
  <c r="J37" i="21"/>
  <c r="K37" i="21"/>
  <c r="L37" i="21"/>
  <c r="M37" i="21"/>
  <c r="N37" i="21"/>
  <c r="O37" i="21"/>
  <c r="P37" i="21"/>
  <c r="Q37" i="21"/>
  <c r="R37" i="21"/>
  <c r="S37" i="21"/>
  <c r="T37" i="21"/>
  <c r="U37" i="21"/>
  <c r="V37" i="21"/>
  <c r="H38" i="21"/>
  <c r="I38" i="21"/>
  <c r="J38" i="21"/>
  <c r="K38" i="21"/>
  <c r="L38" i="21"/>
  <c r="M38" i="21"/>
  <c r="N38" i="21"/>
  <c r="O38" i="21"/>
  <c r="P38" i="21"/>
  <c r="Q38" i="21"/>
  <c r="R38" i="21"/>
  <c r="S38" i="21"/>
  <c r="T38" i="21"/>
  <c r="U38" i="21"/>
  <c r="V38" i="21"/>
  <c r="H39" i="21"/>
  <c r="I39" i="21"/>
  <c r="J39" i="21"/>
  <c r="K39" i="21"/>
  <c r="L39" i="21"/>
  <c r="M39" i="21"/>
  <c r="N39" i="21"/>
  <c r="O39" i="21"/>
  <c r="P39" i="21"/>
  <c r="Q39" i="21"/>
  <c r="R39" i="21"/>
  <c r="S39" i="21"/>
  <c r="T39" i="21"/>
  <c r="U39" i="21"/>
  <c r="V39" i="21"/>
  <c r="H40" i="21"/>
  <c r="I40" i="21"/>
  <c r="J40" i="21"/>
  <c r="K40" i="21"/>
  <c r="L40" i="21"/>
  <c r="M40" i="21"/>
  <c r="N40" i="21"/>
  <c r="O40" i="21"/>
  <c r="P40" i="21"/>
  <c r="Q40" i="21"/>
  <c r="R40" i="21"/>
  <c r="S40" i="21"/>
  <c r="T40" i="21"/>
  <c r="U40" i="21"/>
  <c r="V40" i="21"/>
  <c r="I17" i="21"/>
  <c r="J17" i="21"/>
  <c r="K17" i="21"/>
  <c r="L17" i="21"/>
  <c r="M17" i="21"/>
  <c r="N17" i="21"/>
  <c r="O17" i="21"/>
  <c r="P17" i="21"/>
  <c r="Q17" i="21"/>
  <c r="R17" i="21"/>
  <c r="S17" i="21"/>
  <c r="T17" i="21"/>
  <c r="U17" i="21"/>
  <c r="V17" i="21"/>
  <c r="H17" i="21"/>
  <c r="D18" i="14"/>
  <c r="C18" i="14"/>
  <c r="C19" i="14"/>
  <c r="D19" i="14"/>
  <c r="C20" i="14"/>
  <c r="D20" i="14"/>
  <c r="C21" i="14"/>
  <c r="D21" i="14"/>
  <c r="C22" i="14"/>
  <c r="D22" i="14"/>
  <c r="C23" i="14"/>
  <c r="D23" i="14"/>
  <c r="C24" i="14"/>
  <c r="D24" i="14"/>
  <c r="C25" i="14"/>
  <c r="D25" i="14"/>
  <c r="C26" i="14"/>
  <c r="D26" i="14"/>
  <c r="C27" i="14"/>
  <c r="D27" i="14"/>
  <c r="C28" i="14"/>
  <c r="D28" i="14"/>
  <c r="C29" i="14"/>
  <c r="D29" i="14"/>
  <c r="C30" i="14"/>
  <c r="D30" i="14"/>
  <c r="C31" i="14"/>
  <c r="D31" i="14"/>
  <c r="C32" i="14"/>
  <c r="D32" i="14"/>
  <c r="C33" i="14"/>
  <c r="D33" i="14"/>
  <c r="C34" i="14"/>
  <c r="D34" i="14"/>
  <c r="C35" i="14"/>
  <c r="D35" i="14"/>
  <c r="C36" i="14"/>
  <c r="D36" i="14"/>
  <c r="C37" i="14"/>
  <c r="D37" i="14"/>
  <c r="C38" i="14"/>
  <c r="D38" i="14"/>
  <c r="C39" i="14"/>
  <c r="D39" i="14"/>
  <c r="C40" i="14"/>
  <c r="D40" i="14"/>
  <c r="D17" i="14"/>
  <c r="C17" i="14"/>
  <c r="I12" i="14"/>
  <c r="I11" i="14"/>
  <c r="I10" i="14"/>
  <c r="I5" i="14"/>
  <c r="I8" i="14"/>
  <c r="I7" i="14"/>
  <c r="I6" i="14"/>
  <c r="I9" i="14"/>
  <c r="I3" i="14"/>
  <c r="I4" i="14"/>
  <c r="I2" i="14"/>
  <c r="W19" i="14" l="1"/>
  <c r="X19" i="14" s="1"/>
  <c r="W17" i="14"/>
  <c r="X17" i="14" s="1"/>
  <c r="W38" i="14"/>
  <c r="X38" i="14" s="1"/>
  <c r="W30" i="14"/>
  <c r="X30" i="14" s="1"/>
  <c r="W22" i="14"/>
  <c r="X22" i="14" s="1"/>
  <c r="W39" i="14"/>
  <c r="X39" i="14" s="1"/>
  <c r="W31" i="14"/>
  <c r="X31" i="14" s="1"/>
  <c r="W23" i="14"/>
  <c r="X23" i="14" s="1"/>
  <c r="W40" i="14"/>
  <c r="X40" i="14" s="1"/>
  <c r="W32" i="14"/>
  <c r="X32" i="14" s="1"/>
  <c r="W24" i="14"/>
  <c r="X24" i="14" s="1"/>
  <c r="W35" i="14"/>
  <c r="X35" i="14" s="1"/>
  <c r="W33" i="14"/>
  <c r="X33" i="14" s="1"/>
  <c r="W27" i="14"/>
  <c r="X27" i="14" s="1"/>
  <c r="W25" i="14"/>
  <c r="X25" i="14" s="1"/>
  <c r="W20" i="14"/>
  <c r="X20" i="14" s="1"/>
  <c r="W18" i="14"/>
  <c r="X18" i="14" s="1"/>
  <c r="W34" i="14"/>
  <c r="X34" i="14" s="1"/>
  <c r="W26" i="14"/>
  <c r="X26" i="14" s="1"/>
  <c r="W36" i="14"/>
  <c r="X36" i="14" s="1"/>
  <c r="W29" i="14"/>
  <c r="X29" i="14" s="1"/>
  <c r="W28" i="14"/>
  <c r="X28" i="14" s="1"/>
  <c r="W21" i="14"/>
  <c r="X21" i="14" s="1"/>
  <c r="W37" i="14"/>
  <c r="X37" i="14" s="1"/>
  <c r="E18" i="14"/>
  <c r="E39" i="14"/>
  <c r="E35" i="14"/>
  <c r="E31" i="14"/>
  <c r="E27" i="14"/>
  <c r="E23" i="14"/>
  <c r="E37" i="14"/>
  <c r="E29" i="14"/>
  <c r="E25" i="14"/>
  <c r="E21" i="14"/>
  <c r="E40" i="14"/>
  <c r="E36" i="14"/>
  <c r="E19" i="14"/>
  <c r="E32" i="14"/>
  <c r="E28" i="14"/>
  <c r="E24" i="14"/>
  <c r="E20" i="14"/>
  <c r="E38" i="14"/>
  <c r="E34" i="14"/>
  <c r="E30" i="14"/>
  <c r="E26" i="14"/>
  <c r="E22" i="14"/>
  <c r="E17" i="14"/>
  <c r="E33" i="14"/>
  <c r="K128" i="22" a="1"/>
  <c r="K16" i="22" a="1"/>
  <c r="K32" i="22" a="1"/>
  <c r="K48" i="22" a="1"/>
  <c r="J38" i="22" a="1"/>
  <c r="J29" i="22" a="1"/>
  <c r="K25" i="22" a="1"/>
  <c r="J162" i="22" a="1"/>
  <c r="K164" i="22" a="1"/>
  <c r="K226" i="22" a="1"/>
  <c r="K147" i="22" a="1"/>
  <c r="K223" i="22" a="1"/>
  <c r="J116" i="22" a="1"/>
  <c r="J144" i="22" a="1"/>
  <c r="J99" i="22" a="1"/>
  <c r="K87" i="22" a="1"/>
  <c r="K78" i="22" a="1"/>
  <c r="J76" i="22" a="1"/>
  <c r="K213" i="22" a="1"/>
  <c r="K216" i="22" a="1"/>
  <c r="J190" i="22" a="1"/>
  <c r="K20" i="22" a="1"/>
  <c r="J10" i="22" a="1"/>
  <c r="J138" i="22" a="1"/>
  <c r="J129" i="22" a="1"/>
  <c r="K125" i="22" a="1"/>
  <c r="K162" i="22" a="1"/>
  <c r="K191" i="22" a="1"/>
  <c r="K221" i="22" a="1"/>
  <c r="J103" i="22" a="1"/>
  <c r="K91" i="22" a="1"/>
  <c r="K82" i="22" a="1"/>
  <c r="J80" i="22" a="1"/>
  <c r="K217" i="22" a="1"/>
  <c r="K220" i="22" a="1"/>
  <c r="J194" i="22" a="1"/>
  <c r="K8" i="22" a="1"/>
  <c r="J110" i="22" a="1"/>
  <c r="J188" i="22" a="1"/>
  <c r="K243" i="22" a="1"/>
  <c r="K95" i="22" a="1"/>
  <c r="K189" i="22" a="1"/>
  <c r="K2" i="22" a="1"/>
  <c r="J126" i="22" a="1"/>
  <c r="K65" i="22" a="1"/>
  <c r="J175" i="22" a="1"/>
  <c r="K195" i="22" a="1"/>
  <c r="K47" i="22" a="1"/>
  <c r="K173" i="22" a="1"/>
  <c r="K142" i="22" a="1"/>
  <c r="K108" i="22" a="1"/>
  <c r="J98" i="22" a="1"/>
  <c r="J89" i="22" a="1"/>
  <c r="K85" i="22" a="1"/>
  <c r="J224" i="22" a="1"/>
  <c r="J227" i="22" a="1"/>
  <c r="K199" i="22" a="1"/>
  <c r="J31" i="22" a="1"/>
  <c r="K19" i="22" a="1"/>
  <c r="K10" i="22" a="1"/>
  <c r="J8" i="22" a="1"/>
  <c r="J136" i="22" a="1"/>
  <c r="K238" i="22" a="1"/>
  <c r="J170" i="22" a="1"/>
  <c r="K149" i="22" a="1"/>
  <c r="J128" i="22" a="1"/>
  <c r="J223" i="22" a="1"/>
  <c r="K208" i="22" a="1"/>
  <c r="J18" i="22" a="1"/>
  <c r="K5" i="22" a="1"/>
  <c r="J221" i="22" a="1"/>
  <c r="K168" i="22" a="1"/>
  <c r="J79" i="22" a="1"/>
  <c r="K58" i="22" a="1"/>
  <c r="K193" i="22" a="1"/>
  <c r="J168" i="22" a="1"/>
  <c r="K44" i="22" a="1"/>
  <c r="J155" i="22" a="1"/>
  <c r="K242" i="22" a="1"/>
  <c r="K74" i="22" a="1"/>
  <c r="K209" i="22" a="1"/>
  <c r="J186" i="22" a="1"/>
  <c r="J109" i="22" a="1"/>
  <c r="K219" i="22" a="1"/>
  <c r="J51" i="22" a="1"/>
  <c r="J28" i="22" a="1"/>
  <c r="J166" i="22" a="1"/>
  <c r="K100" i="22" a="1"/>
  <c r="K77" i="22" a="1"/>
  <c r="K182" i="22" a="1"/>
  <c r="K43" i="22" a="1"/>
  <c r="K170" i="22" a="1"/>
  <c r="K163" i="22" a="1"/>
  <c r="K49" i="22" a="1"/>
  <c r="J4" i="22" a="1"/>
  <c r="J133" i="22" a="1"/>
  <c r="J59" i="22" a="1"/>
  <c r="K134" i="22" a="1"/>
  <c r="J41" i="22" a="1"/>
  <c r="J179" i="22" a="1"/>
  <c r="J111" i="22" a="1"/>
  <c r="J88" i="22" a="1"/>
  <c r="K225" i="22" a="1"/>
  <c r="J6" i="22" a="1"/>
  <c r="J171" i="22" a="1"/>
  <c r="J237" i="22" a="1"/>
  <c r="J67" i="22" a="1"/>
  <c r="J44" i="22" a="1"/>
  <c r="K184" i="22" a="1"/>
  <c r="K116" i="22" a="1"/>
  <c r="K93" i="22" a="1"/>
  <c r="K186" i="22" a="1"/>
  <c r="K64" i="22" a="1"/>
  <c r="J54" i="22" a="1"/>
  <c r="J45" i="22" a="1"/>
  <c r="K41" i="22" a="1"/>
  <c r="J180" i="22" a="1"/>
  <c r="J183" i="22" a="1"/>
  <c r="J147" i="22" a="1"/>
  <c r="J197" i="22" a="1"/>
  <c r="K194" i="22" a="1"/>
  <c r="K205" i="22" a="1"/>
  <c r="J2" i="22" a="1"/>
  <c r="J115" i="22" a="1"/>
  <c r="K103" i="22" a="1"/>
  <c r="K94" i="22" a="1"/>
  <c r="J92" i="22" a="1"/>
  <c r="K229" i="22" a="1"/>
  <c r="K232" i="22" a="1"/>
  <c r="J206" i="22" a="1"/>
  <c r="K36" i="22" a="1"/>
  <c r="J26" i="22" a="1"/>
  <c r="J17" i="22" a="1"/>
  <c r="K13" i="22" a="1"/>
  <c r="K144" i="22" a="1"/>
  <c r="J143" i="22" a="1"/>
  <c r="K207" i="22" a="1"/>
  <c r="K4" i="22" a="1"/>
  <c r="J119" i="22" a="1"/>
  <c r="K107" i="22" a="1"/>
  <c r="K98" i="22" a="1"/>
  <c r="J96" i="22" a="1"/>
  <c r="K233" i="22" a="1"/>
  <c r="K236" i="22" a="1"/>
  <c r="J210" i="22" a="1"/>
  <c r="K40" i="22" a="1"/>
  <c r="J5" i="22" a="1"/>
  <c r="J220" i="22" a="1"/>
  <c r="J165" i="22" a="1"/>
  <c r="K127" i="22" a="1"/>
  <c r="K214" i="22" a="1"/>
  <c r="K24" i="22" a="1"/>
  <c r="J37" i="22" a="1"/>
  <c r="K81" i="22" a="1"/>
  <c r="J191" i="22" a="1"/>
  <c r="K227" i="22" a="1"/>
  <c r="K79" i="22" a="1"/>
  <c r="K237" i="22" a="1"/>
  <c r="J11" i="22" a="1"/>
  <c r="K124" i="22" a="1"/>
  <c r="J114" i="22" a="1"/>
  <c r="J105" i="22" a="1"/>
  <c r="K101" i="22" a="1"/>
  <c r="J240" i="22" a="1"/>
  <c r="J243" i="22" a="1"/>
  <c r="K215" i="22" a="1"/>
  <c r="J47" i="22" a="1"/>
  <c r="K35" i="22" a="1"/>
  <c r="K26" i="22" a="1"/>
  <c r="J24" i="22" a="1"/>
  <c r="K160" i="22" a="1"/>
  <c r="J159" i="22" a="1"/>
  <c r="K222" i="22" a="1"/>
  <c r="J140" i="22" a="1"/>
  <c r="K7" i="22" a="1"/>
  <c r="K135" i="22" a="1"/>
  <c r="K126" i="22" a="1"/>
  <c r="J124" i="22" a="1"/>
  <c r="J157" i="22" a="1"/>
  <c r="J142" i="22" a="1"/>
  <c r="J238" i="22" a="1"/>
  <c r="K68" i="22" a="1"/>
  <c r="J58" i="22" a="1"/>
  <c r="J49" i="22" a="1"/>
  <c r="K45" i="22" a="1"/>
  <c r="J184" i="22" a="1"/>
  <c r="J203" i="22" a="1"/>
  <c r="K154" i="22" a="1"/>
  <c r="J23" i="22" a="1"/>
  <c r="K11" i="22" a="1"/>
  <c r="K139" i="22" a="1"/>
  <c r="K130" i="22" a="1"/>
  <c r="J169" i="22" a="1"/>
  <c r="K156" i="22" a="1"/>
  <c r="J242" i="22" a="1"/>
  <c r="K88" i="22" a="1"/>
  <c r="J53" i="22" a="1"/>
  <c r="J150" i="22" a="1"/>
  <c r="J43" i="22" a="1"/>
  <c r="K70" i="22" a="1"/>
  <c r="K224" i="22" a="1"/>
  <c r="K104" i="22" a="1"/>
  <c r="J85" i="22" a="1"/>
  <c r="K129" i="22" a="1"/>
  <c r="J229" i="22" a="1"/>
  <c r="K6" i="22" a="1"/>
  <c r="K28" i="22" a="1"/>
  <c r="J9" i="22" a="1"/>
  <c r="K133" i="22" a="1"/>
  <c r="K247" i="22" a="1"/>
  <c r="K67" i="22" a="1"/>
  <c r="J56" i="22" a="1"/>
  <c r="K196" i="22" a="1"/>
  <c r="J153" i="22" a="1"/>
  <c r="J25" i="22" a="1"/>
  <c r="J217" i="22" a="1"/>
  <c r="K83" i="22" a="1"/>
  <c r="K212" i="22" a="1"/>
  <c r="J118" i="22" a="1"/>
  <c r="K118" i="22" a="1"/>
  <c r="K30" i="22" a="1"/>
  <c r="K230" i="22" a="1"/>
  <c r="J81" i="22" a="1"/>
  <c r="K31" i="22" a="1"/>
  <c r="K34" i="22" a="1"/>
  <c r="J241" i="22" a="1"/>
  <c r="K190" i="22" a="1"/>
  <c r="J30" i="22" a="1"/>
  <c r="J160" i="22" a="1"/>
  <c r="K60" i="22" a="1"/>
  <c r="K37" i="22" a="1"/>
  <c r="J137" i="22" a="1"/>
  <c r="K99" i="22" a="1"/>
  <c r="K228" i="22" a="1"/>
  <c r="J134" i="22" a="1"/>
  <c r="K155" i="22" a="1"/>
  <c r="J36" i="22" a="1"/>
  <c r="K46" i="22" a="1"/>
  <c r="K152" i="22" a="1"/>
  <c r="K80" i="22" a="1"/>
  <c r="J70" i="22" a="1"/>
  <c r="J61" i="22" a="1"/>
  <c r="K57" i="22" a="1"/>
  <c r="J196" i="22" a="1"/>
  <c r="J199" i="22" a="1"/>
  <c r="K171" i="22" a="1"/>
  <c r="K158" i="22" a="1"/>
  <c r="K210" i="22" a="1"/>
  <c r="J213" i="22" a="1"/>
  <c r="J3" i="22" a="1"/>
  <c r="J131" i="22" a="1"/>
  <c r="K119" i="22" a="1"/>
  <c r="K110" i="22" a="1"/>
  <c r="J108" i="22" a="1"/>
  <c r="K245" i="22" a="1"/>
  <c r="K248" i="22" a="1"/>
  <c r="J222" i="22" a="1"/>
  <c r="K52" i="22" a="1"/>
  <c r="J42" i="22" a="1"/>
  <c r="J33" i="22" a="1"/>
  <c r="K29" i="22" a="1"/>
  <c r="K167" i="22" a="1"/>
  <c r="K169" i="22" a="1"/>
  <c r="K239" i="22" a="1"/>
  <c r="J7" i="22" a="1"/>
  <c r="J135" i="22" a="1"/>
  <c r="K123" i="22" a="1"/>
  <c r="K114" i="22" a="1"/>
  <c r="J112" i="22" a="1"/>
  <c r="K178" i="22" a="1"/>
  <c r="K143" i="22" a="1"/>
  <c r="J226" i="22" a="1"/>
  <c r="K72" i="22" a="1"/>
  <c r="J21" i="22" a="1"/>
  <c r="J205" i="22" a="1"/>
  <c r="K234" i="22" a="1"/>
  <c r="K22" i="22" a="1"/>
  <c r="K176" i="22" a="1"/>
  <c r="K56" i="22" a="1"/>
  <c r="J69" i="22" a="1"/>
  <c r="K113" i="22" a="1"/>
  <c r="J207" i="22" a="1"/>
  <c r="J225" i="22" a="1"/>
  <c r="K111" i="22" a="1"/>
  <c r="J152" i="22" a="1"/>
  <c r="K12" i="22" a="1"/>
  <c r="K140" i="22" a="1"/>
  <c r="J130" i="22" a="1"/>
  <c r="J121" i="22" a="1"/>
  <c r="K117" i="22" a="1"/>
  <c r="J141" i="22" a="1"/>
  <c r="K159" i="22" a="1"/>
  <c r="K231" i="22" a="1"/>
  <c r="J63" i="22" a="1"/>
  <c r="K51" i="22" a="1"/>
  <c r="K42" i="22" a="1"/>
  <c r="J40" i="22" a="1"/>
  <c r="K177" i="22" a="1"/>
  <c r="K180" i="22" a="1"/>
  <c r="K145" i="22" a="1"/>
  <c r="J185" i="22" a="1"/>
  <c r="J86" i="22" a="1"/>
  <c r="J77" i="22" a="1"/>
  <c r="K73" i="22" a="1"/>
  <c r="J212" i="22" a="1"/>
  <c r="J215" i="22" a="1"/>
  <c r="K187" i="22" a="1"/>
  <c r="J187" i="22" a="1"/>
  <c r="K15" i="22" a="1"/>
  <c r="K192" i="22" a="1"/>
  <c r="J19" i="22" a="1"/>
  <c r="K96" i="22" a="1"/>
  <c r="K112" i="22" a="1"/>
  <c r="J102" i="22" a="1"/>
  <c r="J93" i="22" a="1"/>
  <c r="K89" i="22" a="1"/>
  <c r="J228" i="22" a="1"/>
  <c r="J231" i="22" a="1"/>
  <c r="K203" i="22" a="1"/>
  <c r="J235" i="22" a="1"/>
  <c r="K38" i="22" a="1"/>
  <c r="K240" i="22" a="1"/>
  <c r="J35" i="22" a="1"/>
  <c r="K23" i="22" a="1"/>
  <c r="K14" i="22" a="1"/>
  <c r="J12" i="22" a="1"/>
  <c r="K138" i="22" a="1"/>
  <c r="K141" i="22" a="1"/>
  <c r="J177" i="22" a="1"/>
  <c r="J193" i="22" a="1"/>
  <c r="K84" i="22" a="1"/>
  <c r="J74" i="22" a="1"/>
  <c r="J65" i="22" a="1"/>
  <c r="K61" i="22" a="1"/>
  <c r="J200" i="22" a="1"/>
  <c r="J219" i="22" a="1"/>
  <c r="J173" i="22" a="1"/>
  <c r="J39" i="22" a="1"/>
  <c r="K27" i="22" a="1"/>
  <c r="K18" i="22" a="1"/>
  <c r="J16" i="22" a="1"/>
  <c r="J146" i="22" a="1"/>
  <c r="K148" i="22" a="1"/>
  <c r="J189" i="22" a="1"/>
  <c r="J209" i="22" a="1"/>
  <c r="K120" i="22" a="1"/>
  <c r="J101" i="22" a="1"/>
  <c r="J239" i="22" a="1"/>
  <c r="J75" i="22" a="1"/>
  <c r="K102" i="22" a="1"/>
  <c r="K165" i="22" a="1"/>
  <c r="K136" i="22" a="1"/>
  <c r="J117" i="22" a="1"/>
  <c r="J172" i="22" a="1"/>
  <c r="J145" i="22" a="1"/>
  <c r="J27" i="22" a="1"/>
  <c r="K54" i="22" a="1"/>
  <c r="K150" i="22" a="1"/>
  <c r="J34" i="22" a="1"/>
  <c r="K21" i="22" a="1"/>
  <c r="K157" i="22" a="1"/>
  <c r="J95" i="22" a="1"/>
  <c r="J72" i="22" a="1"/>
  <c r="K105" i="22" a="1"/>
  <c r="J244" i="22" a="1"/>
  <c r="J247" i="22" a="1"/>
  <c r="J151" i="22" a="1"/>
  <c r="K202" i="22" a="1"/>
  <c r="K39" i="22" a="1"/>
  <c r="J164" i="22" a="1"/>
  <c r="J149" i="22" a="1"/>
  <c r="J90" i="22" a="1"/>
  <c r="J216" i="22" a="1"/>
  <c r="J55" i="22" a="1"/>
  <c r="J32" i="22" a="1"/>
  <c r="K172" i="22" a="1"/>
  <c r="J14" i="22" a="1"/>
  <c r="J107" i="22" a="1"/>
  <c r="J163" i="22" a="1"/>
  <c r="J204" i="22" a="1"/>
  <c r="K86" i="22" a="1"/>
  <c r="J50" i="22" a="1"/>
  <c r="J176" i="22" a="1"/>
  <c r="J181" i="22" a="1"/>
  <c r="K90" i="22" a="1"/>
  <c r="J202" i="22" a="1"/>
  <c r="J125" i="22" a="1"/>
  <c r="K121" i="22" a="1"/>
  <c r="K235" i="22" a="1"/>
  <c r="J182" i="22" a="1"/>
  <c r="K55" i="22" a="1"/>
  <c r="K181" i="22" a="1"/>
  <c r="K198" i="22" a="1"/>
  <c r="J97" i="22" a="1"/>
  <c r="J22" i="22" a="1"/>
  <c r="J84" i="22" a="1"/>
  <c r="J174" i="22" a="1"/>
  <c r="J248" i="22" a="1"/>
  <c r="K50" i="22" a="1"/>
  <c r="J156" i="22" a="1"/>
  <c r="K179" i="22" a="1"/>
  <c r="J62" i="22" a="1"/>
  <c r="J91" i="22" a="1"/>
  <c r="J66" i="22" a="1"/>
  <c r="J195" i="22" a="1"/>
  <c r="K115" i="22" a="1"/>
  <c r="K244" i="22" a="1"/>
  <c r="J161" i="22" a="1"/>
  <c r="J218" i="22" a="1"/>
  <c r="K33" i="22" a="1"/>
  <c r="J73" i="22" a="1"/>
  <c r="J234" i="22" a="1"/>
  <c r="K69" i="22" a="1"/>
  <c r="K59" i="22" a="1"/>
  <c r="J127" i="22" a="1"/>
  <c r="J13" i="22" a="1"/>
  <c r="J230" i="22" a="1"/>
  <c r="J167" i="22" a="1"/>
  <c r="J154" i="22" a="1"/>
  <c r="K66" i="22" a="1"/>
  <c r="J178" i="22" a="1"/>
  <c r="K211" i="22" a="1"/>
  <c r="J94" i="22" a="1"/>
  <c r="J123" i="22" a="1"/>
  <c r="J82" i="22" a="1"/>
  <c r="J211" i="22" a="1"/>
  <c r="K131" i="22" a="1"/>
  <c r="K63" i="22" a="1"/>
  <c r="K183" i="22" a="1"/>
  <c r="J201" i="22" a="1"/>
  <c r="J120" i="22" a="1"/>
  <c r="K76" i="22" a="1"/>
  <c r="J233" i="22" a="1"/>
  <c r="K9" i="22" a="1"/>
  <c r="J83" i="22" a="1"/>
  <c r="K132" i="22" a="1"/>
  <c r="J52" i="22" a="1"/>
  <c r="J48" i="22" a="1"/>
  <c r="K218" i="22" a="1"/>
  <c r="J139" i="22" a="1"/>
  <c r="K17" i="22" a="1"/>
  <c r="J20" i="22" a="1"/>
  <c r="J57" i="22" a="1"/>
  <c r="K166" i="22" a="1"/>
  <c r="K106" i="22" a="1"/>
  <c r="J100" i="22" a="1"/>
  <c r="J132" i="22" a="1"/>
  <c r="K97" i="22" a="1"/>
  <c r="K241" i="22" a="1"/>
  <c r="K137" i="22" a="1"/>
  <c r="K71" i="22" a="1"/>
  <c r="J106" i="22" a="1"/>
  <c r="K153" i="22" a="1"/>
  <c r="J64" i="22" a="1"/>
  <c r="K206" i="22" a="1"/>
  <c r="K122" i="22" a="1"/>
  <c r="K188" i="22" a="1"/>
  <c r="K161" i="22" a="1"/>
  <c r="J245" i="22" a="1"/>
  <c r="K62" i="22" a="1"/>
  <c r="J122" i="22" a="1"/>
  <c r="J71" i="22" a="1"/>
  <c r="K185" i="22" a="1"/>
  <c r="J46" i="22" a="1"/>
  <c r="J68" i="22" a="1"/>
  <c r="J236" i="22" a="1"/>
  <c r="J198" i="22" a="1"/>
  <c r="K53" i="22" a="1"/>
  <c r="K151" i="22" a="1"/>
  <c r="J104" i="22" a="1"/>
  <c r="J78" i="22" a="1"/>
  <c r="J15" i="22" a="1"/>
  <c r="J192" i="22" a="1"/>
  <c r="K204" i="22" a="1"/>
  <c r="K3" i="22" a="1"/>
  <c r="K174" i="22" a="1"/>
  <c r="J60" i="22" a="1"/>
  <c r="J113" i="22" a="1"/>
  <c r="J87" i="22" a="1"/>
  <c r="K201" i="22" a="1"/>
  <c r="J246" i="22" a="1"/>
  <c r="K246" i="22" a="1"/>
  <c r="J148" i="22" a="1"/>
  <c r="K146" i="22" a="1"/>
  <c r="J158" i="22" a="1"/>
  <c r="K197" i="22" a="1"/>
  <c r="K109" i="22" a="1"/>
  <c r="J214" i="22" a="1"/>
  <c r="K92" i="22" a="1"/>
  <c r="K175" i="22" a="1"/>
  <c r="K200" i="22" a="1"/>
  <c r="J232" i="22" a="1"/>
  <c r="K75" i="22" a="1"/>
  <c r="J208" i="22" a="1"/>
  <c r="J208" i="22" l="1"/>
  <c r="K75" i="22"/>
  <c r="J232" i="22"/>
  <c r="K200" i="22"/>
  <c r="K175" i="22"/>
  <c r="K92" i="22"/>
  <c r="J214" i="22"/>
  <c r="K109" i="22"/>
  <c r="K197" i="22"/>
  <c r="J158" i="22"/>
  <c r="K146" i="22"/>
  <c r="J148" i="22"/>
  <c r="K246" i="22"/>
  <c r="J246" i="22"/>
  <c r="K201" i="22"/>
  <c r="J87" i="22"/>
  <c r="J113" i="22"/>
  <c r="J60" i="22"/>
  <c r="K174" i="22"/>
  <c r="K3" i="22"/>
  <c r="K204" i="22"/>
  <c r="J192" i="22"/>
  <c r="J15" i="22"/>
  <c r="J78" i="22"/>
  <c r="J104" i="22"/>
  <c r="K151" i="22"/>
  <c r="K53" i="22"/>
  <c r="J198" i="22"/>
  <c r="J236" i="22"/>
  <c r="J68" i="22"/>
  <c r="J46" i="22"/>
  <c r="K185" i="22"/>
  <c r="J71" i="22"/>
  <c r="J122" i="22"/>
  <c r="K62" i="22"/>
  <c r="J245" i="22"/>
  <c r="K161" i="22"/>
  <c r="K188" i="22"/>
  <c r="K122" i="22"/>
  <c r="K206" i="22"/>
  <c r="J64" i="22"/>
  <c r="K153" i="22"/>
  <c r="J106" i="22"/>
  <c r="K71" i="22"/>
  <c r="K137" i="22"/>
  <c r="K241" i="22"/>
  <c r="K97" i="22"/>
  <c r="J132" i="22"/>
  <c r="J100" i="22"/>
  <c r="K106" i="22"/>
  <c r="K166" i="22"/>
  <c r="J57" i="22"/>
  <c r="J20" i="22"/>
  <c r="K17" i="22"/>
  <c r="J139" i="22"/>
  <c r="K218" i="22"/>
  <c r="J48" i="22"/>
  <c r="J52" i="22"/>
  <c r="K132" i="22"/>
  <c r="J83" i="22"/>
  <c r="K9" i="22"/>
  <c r="J233" i="22"/>
  <c r="K76" i="22"/>
  <c r="J120" i="22"/>
  <c r="J201" i="22"/>
  <c r="K183" i="22"/>
  <c r="K63" i="22"/>
  <c r="K131" i="22"/>
  <c r="J211" i="22"/>
  <c r="J82" i="22"/>
  <c r="J123" i="22"/>
  <c r="J94" i="22"/>
  <c r="K211" i="22"/>
  <c r="J178" i="22"/>
  <c r="K66" i="22"/>
  <c r="J154" i="22"/>
  <c r="J167" i="22"/>
  <c r="J230" i="22"/>
  <c r="J13" i="22"/>
  <c r="J127" i="22"/>
  <c r="K59" i="22"/>
  <c r="K69" i="22"/>
  <c r="J234" i="22"/>
  <c r="J73" i="22"/>
  <c r="K33" i="22"/>
  <c r="J218" i="22"/>
  <c r="J161" i="22"/>
  <c r="K244" i="22"/>
  <c r="K115" i="22"/>
  <c r="J195" i="22"/>
  <c r="J66" i="22"/>
  <c r="J91" i="22"/>
  <c r="J62" i="22"/>
  <c r="K179" i="22"/>
  <c r="J156" i="22"/>
  <c r="K50" i="22"/>
  <c r="J248" i="22"/>
  <c r="J174" i="22"/>
  <c r="J84" i="22"/>
  <c r="J22" i="22"/>
  <c r="J97" i="22"/>
  <c r="K198" i="22"/>
  <c r="K181" i="22"/>
  <c r="K55" i="22"/>
  <c r="J182" i="22"/>
  <c r="K235" i="22"/>
  <c r="K121" i="22"/>
  <c r="J125" i="22"/>
  <c r="J202" i="22"/>
  <c r="K90" i="22"/>
  <c r="J181" i="22"/>
  <c r="J176" i="22"/>
  <c r="J50" i="22"/>
  <c r="K86" i="22"/>
  <c r="J204" i="22"/>
  <c r="J163" i="22"/>
  <c r="J107" i="22"/>
  <c r="J14" i="22"/>
  <c r="K172" i="22"/>
  <c r="J32" i="22"/>
  <c r="J55" i="22"/>
  <c r="J216" i="22"/>
  <c r="J90" i="22"/>
  <c r="J149" i="22"/>
  <c r="J164" i="22"/>
  <c r="K39" i="22"/>
  <c r="K202" i="22"/>
  <c r="J151" i="22"/>
  <c r="J247" i="22"/>
  <c r="J244" i="22"/>
  <c r="K105" i="22"/>
  <c r="J72" i="22"/>
  <c r="J95" i="22"/>
  <c r="K157" i="22"/>
  <c r="K21" i="22"/>
  <c r="J34" i="22"/>
  <c r="K150" i="22"/>
  <c r="K54" i="22"/>
  <c r="J27" i="22"/>
  <c r="J145" i="22"/>
  <c r="J172" i="22"/>
  <c r="J117" i="22"/>
  <c r="K136" i="22"/>
  <c r="K165" i="22"/>
  <c r="K102" i="22"/>
  <c r="J75" i="22"/>
  <c r="J239" i="22"/>
  <c r="J101" i="22"/>
  <c r="K120" i="22"/>
  <c r="J209" i="22"/>
  <c r="J189" i="22"/>
  <c r="K148" i="22"/>
  <c r="J146" i="22"/>
  <c r="J16" i="22"/>
  <c r="K18" i="22"/>
  <c r="K27" i="22"/>
  <c r="J39" i="22"/>
  <c r="J173" i="22"/>
  <c r="J219" i="22"/>
  <c r="J200" i="22"/>
  <c r="K61" i="22"/>
  <c r="J65" i="22"/>
  <c r="J74" i="22"/>
  <c r="K84" i="22"/>
  <c r="J193" i="22"/>
  <c r="J177" i="22"/>
  <c r="K141" i="22"/>
  <c r="K138" i="22"/>
  <c r="J12" i="22"/>
  <c r="K14" i="22"/>
  <c r="K23" i="22"/>
  <c r="J35" i="22"/>
  <c r="K240" i="22"/>
  <c r="K38" i="22"/>
  <c r="J235" i="22"/>
  <c r="K203" i="22"/>
  <c r="J231" i="22"/>
  <c r="J228" i="22"/>
  <c r="K89" i="22"/>
  <c r="J93" i="22"/>
  <c r="J102" i="22"/>
  <c r="K112" i="22"/>
  <c r="K96" i="22"/>
  <c r="J19" i="22"/>
  <c r="K192" i="22"/>
  <c r="K15" i="22"/>
  <c r="J187" i="22"/>
  <c r="K187" i="22"/>
  <c r="J215" i="22"/>
  <c r="J212" i="22"/>
  <c r="K73" i="22"/>
  <c r="J77" i="22"/>
  <c r="J86" i="22"/>
  <c r="J185" i="22"/>
  <c r="K145" i="22"/>
  <c r="K180" i="22"/>
  <c r="K177" i="22"/>
  <c r="J40" i="22"/>
  <c r="K42" i="22"/>
  <c r="K51" i="22"/>
  <c r="J63" i="22"/>
  <c r="K231" i="22"/>
  <c r="K159" i="22"/>
  <c r="J141" i="22"/>
  <c r="K117" i="22"/>
  <c r="J121" i="22"/>
  <c r="J130" i="22"/>
  <c r="K140" i="22"/>
  <c r="K12" i="22"/>
  <c r="J152" i="22"/>
  <c r="K111" i="22"/>
  <c r="J225" i="22"/>
  <c r="J207" i="22"/>
  <c r="K113" i="22"/>
  <c r="J69" i="22"/>
  <c r="K56" i="22"/>
  <c r="K176" i="22"/>
  <c r="K22" i="22"/>
  <c r="K234" i="22"/>
  <c r="J205" i="22"/>
  <c r="J21" i="22"/>
  <c r="K72" i="22"/>
  <c r="J226" i="22"/>
  <c r="K143" i="22"/>
  <c r="K178" i="22"/>
  <c r="J112" i="22"/>
  <c r="K114" i="22"/>
  <c r="K123" i="22"/>
  <c r="J135" i="22"/>
  <c r="J7" i="22"/>
  <c r="K239" i="22"/>
  <c r="K169" i="22"/>
  <c r="K167" i="22"/>
  <c r="K29" i="22"/>
  <c r="J33" i="22"/>
  <c r="J42" i="22"/>
  <c r="K52" i="22"/>
  <c r="J222" i="22"/>
  <c r="K248" i="22"/>
  <c r="K245" i="22"/>
  <c r="J108" i="22"/>
  <c r="K110" i="22"/>
  <c r="K119" i="22"/>
  <c r="J131" i="22"/>
  <c r="J3" i="22"/>
  <c r="J213" i="22"/>
  <c r="K210" i="22"/>
  <c r="K158" i="22"/>
  <c r="K171" i="22"/>
  <c r="J199" i="22"/>
  <c r="J196" i="22"/>
  <c r="K57" i="22"/>
  <c r="J61" i="22"/>
  <c r="J70" i="22"/>
  <c r="K80" i="22"/>
  <c r="K152" i="22"/>
  <c r="K46" i="22"/>
  <c r="J36" i="22"/>
  <c r="K155" i="22"/>
  <c r="J134" i="22"/>
  <c r="K228" i="22"/>
  <c r="K99" i="22"/>
  <c r="J137" i="22"/>
  <c r="K37" i="22"/>
  <c r="K60" i="22"/>
  <c r="J160" i="22"/>
  <c r="J30" i="22"/>
  <c r="K190" i="22"/>
  <c r="J241" i="22"/>
  <c r="K34" i="22"/>
  <c r="K31" i="22"/>
  <c r="J81" i="22"/>
  <c r="K230" i="22"/>
  <c r="K30" i="22"/>
  <c r="K118" i="22"/>
  <c r="J118" i="22"/>
  <c r="K212" i="22"/>
  <c r="K83" i="22"/>
  <c r="J217" i="22"/>
  <c r="J25" i="22"/>
  <c r="J153" i="22"/>
  <c r="K196" i="22"/>
  <c r="J56" i="22"/>
  <c r="K67" i="22"/>
  <c r="K247" i="22"/>
  <c r="K133" i="22"/>
  <c r="J9" i="22"/>
  <c r="K28" i="22"/>
  <c r="K6" i="22"/>
  <c r="J229" i="22"/>
  <c r="K129" i="22"/>
  <c r="J85" i="22"/>
  <c r="K104" i="22"/>
  <c r="K224" i="22"/>
  <c r="K70" i="22"/>
  <c r="J43" i="22"/>
  <c r="J150" i="22"/>
  <c r="J53" i="22"/>
  <c r="K88" i="22"/>
  <c r="J242" i="22"/>
  <c r="K156" i="22"/>
  <c r="J169" i="22"/>
  <c r="K130" i="22"/>
  <c r="K139" i="22"/>
  <c r="K11" i="22"/>
  <c r="J23" i="22"/>
  <c r="K154" i="22"/>
  <c r="J203" i="22"/>
  <c r="J184" i="22"/>
  <c r="K45" i="22"/>
  <c r="J49" i="22"/>
  <c r="J58" i="22"/>
  <c r="K68" i="22"/>
  <c r="J238" i="22"/>
  <c r="J142" i="22"/>
  <c r="J157" i="22"/>
  <c r="J124" i="22"/>
  <c r="K126" i="22"/>
  <c r="K135" i="22"/>
  <c r="K7" i="22"/>
  <c r="J140" i="22"/>
  <c r="K222" i="22"/>
  <c r="J159" i="22"/>
  <c r="K160" i="22"/>
  <c r="J24" i="22"/>
  <c r="K26" i="22"/>
  <c r="K35" i="22"/>
  <c r="J47" i="22"/>
  <c r="K215" i="22"/>
  <c r="J243" i="22"/>
  <c r="J240" i="22"/>
  <c r="K101" i="22"/>
  <c r="J105" i="22"/>
  <c r="J114" i="22"/>
  <c r="K124" i="22"/>
  <c r="J11" i="22"/>
  <c r="K237" i="22"/>
  <c r="K79" i="22"/>
  <c r="K227" i="22"/>
  <c r="J191" i="22"/>
  <c r="K81" i="22"/>
  <c r="J37" i="22"/>
  <c r="K24" i="22"/>
  <c r="K214" i="22"/>
  <c r="K127" i="22"/>
  <c r="J165" i="22"/>
  <c r="J220" i="22"/>
  <c r="J5" i="22"/>
  <c r="K40" i="22"/>
  <c r="J210" i="22"/>
  <c r="K236" i="22"/>
  <c r="K233" i="22"/>
  <c r="J96" i="22"/>
  <c r="K98" i="22"/>
  <c r="K107" i="22"/>
  <c r="J119" i="22"/>
  <c r="K4" i="22"/>
  <c r="K207" i="22"/>
  <c r="J143" i="22"/>
  <c r="K144" i="22"/>
  <c r="K13" i="22"/>
  <c r="J17" i="22"/>
  <c r="J26" i="22"/>
  <c r="K36" i="22"/>
  <c r="J206" i="22"/>
  <c r="K232" i="22"/>
  <c r="K229" i="22"/>
  <c r="J92" i="22"/>
  <c r="K94" i="22"/>
  <c r="K103" i="22"/>
  <c r="J115" i="22"/>
  <c r="J2" i="22"/>
  <c r="K205" i="22"/>
  <c r="K194" i="22"/>
  <c r="J197" i="22"/>
  <c r="J147" i="22"/>
  <c r="J183" i="22"/>
  <c r="J180" i="22"/>
  <c r="K41" i="22"/>
  <c r="J45" i="22"/>
  <c r="J54" i="22"/>
  <c r="K64" i="22"/>
  <c r="K186" i="22"/>
  <c r="K93" i="22"/>
  <c r="K116" i="22"/>
  <c r="K184" i="22"/>
  <c r="J44" i="22"/>
  <c r="J67" i="22"/>
  <c r="J237" i="22"/>
  <c r="J171" i="22"/>
  <c r="J6" i="22"/>
  <c r="K225" i="22"/>
  <c r="J88" i="22"/>
  <c r="J111" i="22"/>
  <c r="J179" i="22"/>
  <c r="J41" i="22"/>
  <c r="K134" i="22"/>
  <c r="J59" i="22"/>
  <c r="J133" i="22"/>
  <c r="J4" i="22"/>
  <c r="K49" i="22"/>
  <c r="K163" i="22"/>
  <c r="K170" i="22"/>
  <c r="K43" i="22"/>
  <c r="K182" i="22"/>
  <c r="K77" i="22"/>
  <c r="K100" i="22"/>
  <c r="J166" i="22"/>
  <c r="J28" i="22"/>
  <c r="J51" i="22"/>
  <c r="K219" i="22"/>
  <c r="J109" i="22"/>
  <c r="J186" i="22"/>
  <c r="K209" i="22"/>
  <c r="K74" i="22"/>
  <c r="K242" i="22"/>
  <c r="J155" i="22"/>
  <c r="K44" i="22"/>
  <c r="J168" i="22"/>
  <c r="K193" i="22"/>
  <c r="K58" i="22"/>
  <c r="J79" i="22"/>
  <c r="K168" i="22"/>
  <c r="J221" i="22"/>
  <c r="K5" i="22"/>
  <c r="J18" i="22"/>
  <c r="K208" i="22"/>
  <c r="J223" i="22"/>
  <c r="J128" i="22"/>
  <c r="K149" i="22"/>
  <c r="J170" i="22"/>
  <c r="K238" i="22"/>
  <c r="J136" i="22"/>
  <c r="J8" i="22"/>
  <c r="K10" i="22"/>
  <c r="K19" i="22"/>
  <c r="J31" i="22"/>
  <c r="K199" i="22"/>
  <c r="J227" i="22"/>
  <c r="J224" i="22"/>
  <c r="K85" i="22"/>
  <c r="J89" i="22"/>
  <c r="J98" i="22"/>
  <c r="K108" i="22"/>
  <c r="K142" i="22"/>
  <c r="K173" i="22"/>
  <c r="K47" i="22"/>
  <c r="K195" i="22"/>
  <c r="J175" i="22"/>
  <c r="K65" i="22"/>
  <c r="J126" i="22"/>
  <c r="K2" i="22"/>
  <c r="K189" i="22"/>
  <c r="K95" i="22"/>
  <c r="K243" i="22"/>
  <c r="J188" i="22"/>
  <c r="J110" i="22"/>
  <c r="K8" i="22"/>
  <c r="J194" i="22"/>
  <c r="K220" i="22"/>
  <c r="K217" i="22"/>
  <c r="J80" i="22"/>
  <c r="K82" i="22"/>
  <c r="K91" i="22"/>
  <c r="J103" i="22"/>
  <c r="K221" i="22"/>
  <c r="K191" i="22"/>
  <c r="K162" i="22"/>
  <c r="K125" i="22"/>
  <c r="J129" i="22"/>
  <c r="J138" i="22"/>
  <c r="J10" i="22"/>
  <c r="K20" i="22"/>
  <c r="J190" i="22"/>
  <c r="K216" i="22"/>
  <c r="K213" i="22"/>
  <c r="J76" i="22"/>
  <c r="K78" i="22"/>
  <c r="K87" i="22"/>
  <c r="J99" i="22"/>
  <c r="J144" i="22"/>
  <c r="J116" i="22"/>
  <c r="K223" i="22"/>
  <c r="K147" i="22"/>
  <c r="K226" i="22"/>
  <c r="K164" i="22"/>
  <c r="J162" i="22"/>
  <c r="K25" i="22"/>
  <c r="J29" i="22"/>
  <c r="J38" i="22"/>
  <c r="K48" i="22"/>
  <c r="K32" i="22"/>
  <c r="K16" i="22"/>
  <c r="K128" i="22"/>
  <c r="V23" i="16"/>
  <c r="V24" i="16"/>
  <c r="V25" i="16"/>
  <c r="V26" i="16"/>
  <c r="V27" i="16"/>
  <c r="V28" i="16"/>
  <c r="V29" i="16"/>
  <c r="V30" i="16"/>
  <c r="V31" i="16"/>
  <c r="V32" i="16"/>
  <c r="V33" i="16"/>
  <c r="V34" i="16"/>
  <c r="V35" i="16"/>
  <c r="V36" i="16"/>
  <c r="V37" i="16"/>
  <c r="V38" i="16"/>
  <c r="V22" i="16"/>
  <c r="L81" i="13"/>
  <c r="L34" i="13"/>
  <c r="L28" i="13"/>
  <c r="L19" i="13"/>
  <c r="L5" i="13"/>
  <c r="L4" i="13"/>
  <c r="L70" i="13"/>
  <c r="L30" i="13"/>
  <c r="L14" i="13"/>
  <c r="L54" i="13"/>
  <c r="L80" i="13"/>
  <c r="L76" i="13"/>
  <c r="L12" i="13"/>
  <c r="L64" i="13"/>
  <c r="L61" i="13"/>
  <c r="L69" i="13"/>
  <c r="L67" i="13"/>
  <c r="L35" i="13"/>
  <c r="L9" i="13"/>
  <c r="L41" i="13"/>
  <c r="L55" i="13"/>
  <c r="L59" i="13"/>
  <c r="L43" i="13"/>
  <c r="L42" i="13"/>
  <c r="L49" i="13"/>
  <c r="L23" i="13"/>
  <c r="L10" i="13"/>
  <c r="L60" i="13"/>
  <c r="L75" i="13"/>
  <c r="L40" i="13"/>
  <c r="L66" i="13"/>
  <c r="L29" i="13"/>
  <c r="L44" i="13"/>
  <c r="L56" i="13"/>
  <c r="L50" i="13"/>
  <c r="L45" i="13"/>
  <c r="L6" i="13"/>
  <c r="L74" i="13"/>
  <c r="L27" i="13"/>
  <c r="L25" i="13"/>
  <c r="L62" i="13"/>
  <c r="L18" i="13"/>
  <c r="L24" i="13"/>
  <c r="L16" i="13"/>
  <c r="L13" i="13"/>
  <c r="L73" i="13"/>
  <c r="L77" i="13"/>
  <c r="L22" i="13"/>
  <c r="L79" i="13"/>
  <c r="L57" i="13"/>
  <c r="L33" i="13"/>
  <c r="L7" i="13"/>
  <c r="L31" i="13"/>
  <c r="L51" i="13"/>
  <c r="L46" i="13"/>
  <c r="L47" i="13"/>
  <c r="L38" i="13"/>
  <c r="L72" i="13"/>
  <c r="L68" i="13"/>
  <c r="L36" i="13"/>
  <c r="L71" i="13"/>
  <c r="L82" i="13"/>
  <c r="L20" i="13"/>
  <c r="L78" i="13"/>
  <c r="L37" i="13"/>
  <c r="L39" i="13"/>
  <c r="L21" i="13"/>
  <c r="L63" i="13"/>
  <c r="L17" i="13"/>
  <c r="L26" i="13"/>
  <c r="L65" i="13"/>
  <c r="L3" i="13"/>
  <c r="L8" i="13"/>
  <c r="L32" i="13"/>
  <c r="L2" i="13"/>
  <c r="L58" i="13"/>
  <c r="L48" i="13"/>
  <c r="L11" i="13"/>
  <c r="L15" i="13"/>
  <c r="Q3" i="16"/>
  <c r="Q4" i="16"/>
  <c r="Q5" i="16"/>
  <c r="Q6" i="16"/>
  <c r="Q7" i="16"/>
  <c r="Q8" i="16"/>
  <c r="Q9" i="16"/>
  <c r="Q10" i="16"/>
  <c r="Q11" i="16"/>
  <c r="Q12" i="16"/>
  <c r="Q13" i="16"/>
  <c r="Q14" i="16"/>
  <c r="Q15" i="16"/>
  <c r="Q16" i="16"/>
  <c r="Q17" i="16"/>
  <c r="Q2" i="16"/>
  <c r="P3" i="16"/>
  <c r="P4" i="16"/>
  <c r="P5" i="16"/>
  <c r="P6" i="16"/>
  <c r="P7" i="16"/>
  <c r="P8" i="16"/>
  <c r="P9" i="16"/>
  <c r="P10" i="16"/>
  <c r="P11" i="16"/>
  <c r="P12" i="16"/>
  <c r="P13" i="16"/>
  <c r="P14" i="16"/>
  <c r="P15" i="16"/>
  <c r="P16" i="16"/>
  <c r="P17" i="16"/>
  <c r="P2" i="16"/>
  <c r="O17" i="16"/>
  <c r="O16" i="16"/>
  <c r="O15" i="16"/>
  <c r="O14" i="16"/>
  <c r="O13" i="16"/>
  <c r="O12" i="16"/>
  <c r="O11" i="16"/>
  <c r="O10" i="16"/>
  <c r="O9" i="16"/>
  <c r="O8" i="16"/>
  <c r="O7" i="16"/>
  <c r="O6" i="16"/>
  <c r="O5" i="16"/>
  <c r="O4" i="16"/>
  <c r="O3" i="16"/>
  <c r="O2" i="16"/>
  <c r="J16" i="16"/>
  <c r="J15" i="16"/>
  <c r="J14" i="16"/>
  <c r="J13" i="16"/>
  <c r="J12" i="16"/>
  <c r="J11" i="16"/>
  <c r="J10" i="16"/>
  <c r="J9" i="16"/>
  <c r="J8" i="16"/>
  <c r="J7" i="16"/>
  <c r="J6" i="16"/>
  <c r="J5" i="16"/>
  <c r="J4" i="16"/>
  <c r="J3" i="16"/>
  <c r="J2" i="16"/>
  <c r="J1" i="16"/>
  <c r="L53" i="13"/>
  <c r="L52" i="13"/>
  <c r="R13" i="16" l="1"/>
  <c r="R16" i="16"/>
  <c r="R15" i="16"/>
  <c r="R14" i="16"/>
  <c r="R10" i="16"/>
  <c r="R9" i="16"/>
  <c r="R8" i="16"/>
  <c r="R7" i="16"/>
  <c r="R6" i="16"/>
  <c r="R5" i="16"/>
  <c r="R12" i="16"/>
  <c r="R4" i="16"/>
  <c r="R17" i="16"/>
  <c r="R11" i="16"/>
  <c r="R3" i="16"/>
  <c r="R2"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<sst xmlns="http://schemas.openxmlformats.org/spreadsheetml/2006/main" count="10154" uniqueCount="6704">
  <si>
    <t>March to Valley Forge</t>
  </si>
  <si>
    <t>First Newspaper Printing of the Declaration of Independence</t>
  </si>
  <si>
    <t>Battle of Germantown</t>
  </si>
  <si>
    <t>Battle of Paoli</t>
  </si>
  <si>
    <t>Triphena Punch Bowl</t>
  </si>
  <si>
    <t>Washington Crossing the Delaware</t>
  </si>
  <si>
    <t>Rifle Made by John Christian Oerter</t>
  </si>
  <si>
    <t>Panoramic View of Verplanck’s Point</t>
  </si>
  <si>
    <t>The Siege of Yorktown</t>
  </si>
  <si>
    <t>"Success to Boston" Mug</t>
  </si>
  <si>
    <t>American Military Drum</t>
  </si>
  <si>
    <t>Common Sense and Plain Truth</t>
  </si>
  <si>
    <t>Bunker Hill Bible</t>
  </si>
  <si>
    <t>Valley Forge Winter, The Return of the Foraging Party</t>
  </si>
  <si>
    <t>Washington Mantel Clock</t>
  </si>
  <si>
    <t>Wooden Canteen Marked "USTATES"</t>
  </si>
  <si>
    <t>Washington's War Tent</t>
  </si>
  <si>
    <t>Washington's Headquarters Flag</t>
  </si>
  <si>
    <t>Phillis Wheatley's Poetry</t>
  </si>
  <si>
    <t>William Waller's Powder Horn</t>
  </si>
  <si>
    <t>"Arms of Liberty" Punch Bowl</t>
  </si>
  <si>
    <t>Musket Made by Thomas Palmer</t>
  </si>
  <si>
    <t>Portrait of Thomas McDonogh</t>
  </si>
  <si>
    <t>Portrait of Lieutenant John Ross</t>
  </si>
  <si>
    <t>Portrait of Joachim du Perron, Comte de Revel</t>
  </si>
  <si>
    <t>Plan of the Battle of Brandywine</t>
  </si>
  <si>
    <t>Patrick Henry's Law Books</t>
  </si>
  <si>
    <t>Owen Madden's Tune Book</t>
  </si>
  <si>
    <t>Jeremiah McGowan's Continental Army Discharge</t>
  </si>
  <si>
    <t>Print of General George Washington</t>
  </si>
  <si>
    <t>Marquis de Lafayette's Brazier</t>
  </si>
  <si>
    <t>Lafayette Parade Banner</t>
  </si>
  <si>
    <t>Jacob Latch's Coat</t>
  </si>
  <si>
    <t>Enlisting Foreign Officers</t>
  </si>
  <si>
    <t>Christopher Ludwick's Cookie Board</t>
  </si>
  <si>
    <t>Continental Currency (3 Dollars)</t>
  </si>
  <si>
    <t>Bust of George Washington</t>
  </si>
  <si>
    <t>British and French Swords</t>
  </si>
  <si>
    <t>Baron von Steuben's Regulations</t>
  </si>
  <si>
    <t>Badge of the Blew and Orange</t>
  </si>
  <si>
    <t>Musket Marked "U.STATES"</t>
  </si>
  <si>
    <t>James Grant’s Campaign Chest</t>
  </si>
  <si>
    <t>Thomas Noyes's Pocketbook</t>
  </si>
  <si>
    <t>Thomas Noyes's Cocked Hat</t>
  </si>
  <si>
    <t>Portrait of Captain William Leslie</t>
  </si>
  <si>
    <t>Self-portrait of Richard St. George Mansergh St. George</t>
  </si>
  <si>
    <t>A New Method of Macarony Making, as practiced at Boston</t>
  </si>
  <si>
    <t>Jonathan Pettibone's Sword</t>
  </si>
  <si>
    <t>John Chandler's Sword</t>
  </si>
  <si>
    <t>Ferguson Rifle</t>
  </si>
  <si>
    <t>British Musket</t>
  </si>
  <si>
    <t>George Wilson's Sword</t>
  </si>
  <si>
    <t>Portrait of Jacob Latch</t>
  </si>
  <si>
    <t>"Americans Will Always Fight for Liberty" Poster</t>
  </si>
  <si>
    <t>Continental Army Descriptive List</t>
  </si>
  <si>
    <t>Musket Made at Rappahannock Forge</t>
  </si>
  <si>
    <t>French Musket Marked “UNITED STATES”</t>
  </si>
  <si>
    <t>Photograph of Mehitable Potter</t>
  </si>
  <si>
    <t>Portrait of Captain William Crosbie</t>
  </si>
  <si>
    <t>Map of the Siege of Yorktown</t>
  </si>
  <si>
    <t>Benjamin Lincoln's Sword</t>
  </si>
  <si>
    <t>French Naval Cutlass</t>
  </si>
  <si>
    <t>Creamware Punch Bowl</t>
  </si>
  <si>
    <t>Astronaut John Glenn’s Revolutionary War Flag</t>
  </si>
  <si>
    <t>British Officer's Saber</t>
  </si>
  <si>
    <t>British Officer's Hanger</t>
  </si>
  <si>
    <t>Hessian Cap Plates</t>
  </si>
  <si>
    <t>Peter Perit’s Powder Horn</t>
  </si>
  <si>
    <t>Abel Scott's Powder Horn</t>
  </si>
  <si>
    <t>Philadelphia Powder Horn</t>
  </si>
  <si>
    <t>Samuel Dudley's Powder Horn</t>
  </si>
  <si>
    <t>Reverend George Whitefield’s Flagon</t>
  </si>
  <si>
    <t>Cash Pallentine's Continental Army Discharge</t>
  </si>
  <si>
    <t>Linen Hunting Shirt</t>
  </si>
  <si>
    <t>Peter Muhlenberg's Pistols</t>
  </si>
  <si>
    <t>British Gorget</t>
  </si>
  <si>
    <t>French Gorget</t>
  </si>
  <si>
    <t>George Washington's Camp Cups</t>
  </si>
  <si>
    <t>Musket Marked "NEW JERSEY"</t>
  </si>
  <si>
    <t>George Mason's Roman History</t>
  </si>
  <si>
    <t>Thomas Noyes's Musket</t>
  </si>
  <si>
    <t>https://www.amrevmuseum.org/collection/washington-s-war-tent</t>
  </si>
  <si>
    <t>https://www.amrevmuseum.org/collection/march-to-valley-forge</t>
  </si>
  <si>
    <t>https://www.amrevmuseum.org/collection/washington-s-headquarters-flag</t>
  </si>
  <si>
    <t>https://www.amrevmuseum.org/collection/first-newspaper-printing-of-the-declaration-of-independence</t>
  </si>
  <si>
    <t>https://www.amrevmuseum.org/collection/battle-of-germantown</t>
  </si>
  <si>
    <t>https://www.amrevmuseum.org/collection/battle-of-paoli</t>
  </si>
  <si>
    <t>https://www.amrevmuseum.org/collection/triphena-punch-bowl</t>
  </si>
  <si>
    <t>https://www.amrevmuseum.org/collection/washington-crossing-the-delaware</t>
  </si>
  <si>
    <t>https://www.amrevmuseum.org/collection/phillis-wheatley-s-poetry</t>
  </si>
  <si>
    <t>https://www.amrevmuseum.org/collection/rifle-made-by-john-christian-oerter</t>
  </si>
  <si>
    <t>https://www.amrevmuseum.org/collection/panoramic-view-of-verplanck-s-point</t>
  </si>
  <si>
    <t>https://www.amrevmuseum.org/collection/the-siege-of-yorktown</t>
  </si>
  <si>
    <t>https://www.amrevmuseum.org/collection/success-to-boston-mug</t>
  </si>
  <si>
    <t>https://www.amrevmuseum.org/collection/american-military-drum</t>
  </si>
  <si>
    <t>https://www.amrevmuseum.org/collection/common-sense-and-plain-truth</t>
  </si>
  <si>
    <t>https://www.amrevmuseum.org/collection/bunker-hill-bible</t>
  </si>
  <si>
    <t>https://www.amrevmuseum.org/collection/valley-forge-winter-the-return-of-the-foraging-party</t>
  </si>
  <si>
    <t>https://www.amrevmuseum.org/collection/washington-mantel-clock</t>
  </si>
  <si>
    <t>https://www.amrevmuseum.org/collection/william-waller-s-powder-horn</t>
  </si>
  <si>
    <t>https://www.amrevmuseum.org/collection/wooden-canteen-marked-ustates</t>
  </si>
  <si>
    <t>https://www.amrevmuseum.org/collection/arms-of-liberty-punch-bowl</t>
  </si>
  <si>
    <t>https://www.amrevmuseum.org/collection/musket-made-by-thomas-palmer-2</t>
  </si>
  <si>
    <t>https://www.amrevmuseum.org/collection/portrait-of-thomas-mcdonogh</t>
  </si>
  <si>
    <t>https://www.amrevmuseum.org/collection/portrait-of-lieutenant-john-ross</t>
  </si>
  <si>
    <t>https://www.amrevmuseum.org/collection/portrait-of-joachim-du-perron-comte-de-revel</t>
  </si>
  <si>
    <t>https://www.amrevmuseum.org/collection/plan-of-the-battle-of-brandywine</t>
  </si>
  <si>
    <t>https://www.amrevmuseum.org/collection/patrick-henry-s-law-books</t>
  </si>
  <si>
    <t>https://www.amrevmuseum.org/collection/owen-madden-s-tune-book</t>
  </si>
  <si>
    <t>https://www.amrevmuseum.org/collection/jeremiah-mcgowan-s-continental-army-discharge</t>
  </si>
  <si>
    <t>https://www.amrevmuseum.org/collection/print-of-general-george-washington</t>
  </si>
  <si>
    <t>https://www.amrevmuseum.org/collection/marquis-de-lafayette-s-brazier</t>
  </si>
  <si>
    <t>https://www.amrevmuseum.org/collection/lafayette-parade-banner</t>
  </si>
  <si>
    <t>https://www.amrevmuseum.org/collection/jacob-latch-s-coat</t>
  </si>
  <si>
    <t>https://www.amrevmuseum.org/collection/enlisting-foreign-officers</t>
  </si>
  <si>
    <t>https://www.amrevmuseum.org/collection/christopher-ludwick-s-cookie-board</t>
  </si>
  <si>
    <t>https://www.amrevmuseum.org/collection/continental-currency-3-dollars</t>
  </si>
  <si>
    <t>https://www.amrevmuseum.org/collection/bust-of-george-washington</t>
  </si>
  <si>
    <t>https://www.amrevmuseum.org/collection/british-and-french-swords</t>
  </si>
  <si>
    <t>https://www.amrevmuseum.org/collection/baron-von-steuben-s-regulations</t>
  </si>
  <si>
    <t>https://www.amrevmuseum.org/collection/badge-of-the-blew-and-orange</t>
  </si>
  <si>
    <t>https://www.amrevmuseum.org/collection/musket-marked-u-states</t>
  </si>
  <si>
    <t>https://www.amrevmuseum.org/collection/james-grant-s-campaign-chest</t>
  </si>
  <si>
    <t>https://www.amrevmuseum.org/collection/thomas-noyes-s-pocketbook</t>
  </si>
  <si>
    <t>https://www.amrevmuseum.org/collection/thomas-noyes-s-cocked-hat</t>
  </si>
  <si>
    <t>https://www.amrevmuseum.org/collection/portrait-of-captain-william-leslie</t>
  </si>
  <si>
    <t>https://www.amrevmuseum.org/collection/self-portrait-of-richard-st-george-mansergh-st-george</t>
  </si>
  <si>
    <t>https://www.amrevmuseum.org/collection/a-new-method-of-macarony-making-as-practiced-at-boston</t>
  </si>
  <si>
    <t>https://www.amrevmuseum.org/collection/jonathan-pettibone-s-sword</t>
  </si>
  <si>
    <t>https://www.amrevmuseum.org/collection/john-chandler-s-sword</t>
  </si>
  <si>
    <t>https://www.amrevmuseum.org/collection/ferguson-rifle</t>
  </si>
  <si>
    <t>https://www.amrevmuseum.org/collection/british-musket</t>
  </si>
  <si>
    <t>https://www.amrevmuseum.org/collection/george-wilson-s-sword</t>
  </si>
  <si>
    <t>https://www.amrevmuseum.org/collection/portrait-of-jacob-latch</t>
  </si>
  <si>
    <t>https://www.amrevmuseum.org/collection/americans-will-always-fight-for-liberty-poster</t>
  </si>
  <si>
    <t>https://www.amrevmuseum.org/collection/continental-army-descriptive-list</t>
  </si>
  <si>
    <t>https://www.amrevmuseum.org/collection/musket-made-at-rappahannock-forge</t>
  </si>
  <si>
    <t>https://www.amrevmuseum.org/collection/french-musket-marked-united-states</t>
  </si>
  <si>
    <t>https://www.amrevmuseum.org/collection/photograph-of-mehitable-potter</t>
  </si>
  <si>
    <t>https://www.amrevmuseum.org/collection/portrait-of-captain-william-crosbie</t>
  </si>
  <si>
    <t>https://www.amrevmuseum.org/collection/map-of-the-siege-of-yorktown</t>
  </si>
  <si>
    <t>https://www.amrevmuseum.org/collection/benjamin-lincoln-s-sword</t>
  </si>
  <si>
    <t>https://www.amrevmuseum.org/collection/french-naval-cutlass</t>
  </si>
  <si>
    <t>https://www.amrevmuseum.org/collection/creamware-punch-bowl</t>
  </si>
  <si>
    <t>https://www.amrevmuseum.org/collection/astronaut-john-glenn-s-revolutionary-war-flag</t>
  </si>
  <si>
    <t>https://www.amrevmuseum.org/collection/british-officer-s-saber</t>
  </si>
  <si>
    <t>https://www.amrevmuseum.org/collection/british-officer-s-hanger</t>
  </si>
  <si>
    <t>https://www.amrevmuseum.org/collection/hessian-cap-plates</t>
  </si>
  <si>
    <t>https://www.amrevmuseum.org/collection/peter-perit-s-powder-horn</t>
  </si>
  <si>
    <t>https://www.amrevmuseum.org/collection/abel-scott-s-powder-horn</t>
  </si>
  <si>
    <t>https://www.amrevmuseum.org/collection/philadelphia-powder-horn</t>
  </si>
  <si>
    <t>https://www.amrevmuseum.org/collection/samuel-dudley-s-powder-horn</t>
  </si>
  <si>
    <t>https://www.amrevmuseum.org/collection/reverend-george-whitefield-s-flagon</t>
  </si>
  <si>
    <t>https://www.amrevmuseum.org/collection/cash-pallentine-s-continental-army-discharge</t>
  </si>
  <si>
    <t>https://www.amrevmuseum.org/collection/linen-hunting-shirt</t>
  </si>
  <si>
    <t>https://www.amrevmuseum.org/collection/peter-muhlenberg-s-pistols</t>
  </si>
  <si>
    <t>https://www.amrevmuseum.org/collection/british-gorget</t>
  </si>
  <si>
    <t>https://www.amrevmuseum.org/collection/french-gorget</t>
  </si>
  <si>
    <t>https://www.amrevmuseum.org/collection/george-washington-s-camp-cups</t>
  </si>
  <si>
    <t>https://www.amrevmuseum.org/collection/musket-marked-new-jersey</t>
  </si>
  <si>
    <t>https://www.amrevmuseum.org/collection/george-mason-s-roman-history</t>
  </si>
  <si>
    <t>https://www.amrevmuseum.org/collection/thomas-noyes-s-musket</t>
  </si>
  <si>
    <t>Object</t>
  </si>
  <si>
    <t>Tent</t>
  </si>
  <si>
    <t>Reading, Pennsylvania</t>
  </si>
  <si>
    <t>1777-1778</t>
  </si>
  <si>
    <t>Linen, Wool</t>
  </si>
  <si>
    <t>Artwork</t>
  </si>
  <si>
    <t>Painted by William Brooke Thomas Trego</t>
  </si>
  <si>
    <t>Philadelphia, Pennsylvania</t>
  </si>
  <si>
    <t>Standard</t>
  </si>
  <si>
    <t>United States of America</t>
  </si>
  <si>
    <t>1777-1783</t>
  </si>
  <si>
    <t>Silk, Linen</t>
  </si>
  <si>
    <t>Printed by Benjamin Towne</t>
  </si>
  <si>
    <t>July 6, 1776</t>
  </si>
  <si>
    <t>Paper, Ink</t>
  </si>
  <si>
    <t>Museum of the American Revolution</t>
  </si>
  <si>
    <t>Painted by Xavier della Gatta</t>
  </si>
  <si>
    <t>Naples, Italy</t>
  </si>
  <si>
    <t>On the night of September 20-21, 1777, a column of British soldiers launched a surprise attack on Continental Army troops encamped in a field near modern-day Malvern, Pennsylvania. In the ensuing struggle, known as the Battle of Paoli, British light infantrymen and light dragoons inflicted heavy casualties on Pennsylvania Brigadier General Anthony Wayne's fleeing troops. British Army light infantry Lieutenant Richard St. George Mansergh St. George, an Irish artist and veteran of the battle, commissioned this painting by Italian artist Xavier della Gatta in 1782 to remember the violence and trauma he experienced at Paoli.</t>
  </si>
  <si>
    <t>Punch Bowl</t>
  </si>
  <si>
    <t>Liverpool, England</t>
  </si>
  <si>
    <t>1760-1770</t>
  </si>
  <si>
    <t>Painted by Harrington G. Fitzgerald</t>
  </si>
  <si>
    <t>1870s-1890s</t>
  </si>
  <si>
    <t xml:space="preserve">Museum of the American Revolution </t>
  </si>
  <si>
    <t>2003.00.0507</t>
  </si>
  <si>
    <t>Poems on Various Subjects, Religious and Moral</t>
  </si>
  <si>
    <t>Written by Phillis Wheatley</t>
  </si>
  <si>
    <t>London, England</t>
  </si>
  <si>
    <t>Leather, Paper, Linen</t>
  </si>
  <si>
    <t>Rifle</t>
  </si>
  <si>
    <t>Made by John Christian Oerter</t>
  </si>
  <si>
    <t>Christian’s Spring, Pennsylvania</t>
  </si>
  <si>
    <t>Iron, Steel, Brass, Wood (maple)</t>
  </si>
  <si>
    <t>Painted by Pierre Charles L’Enfant</t>
  </si>
  <si>
    <t>Verplanck’s Point, New York</t>
  </si>
  <si>
    <t>Watercolor, Ink, Graphite, Paper</t>
  </si>
  <si>
    <t>Attributed to Henry LeGrand, after Louis-Charles-Auguste Couder</t>
  </si>
  <si>
    <t>Paris, France</t>
  </si>
  <si>
    <t>1850-1860</t>
  </si>
  <si>
    <t>Mug</t>
  </si>
  <si>
    <t>Staffordshire, England</t>
  </si>
  <si>
    <t>1774-1776</t>
  </si>
  <si>
    <t>Inscribed “Success to ye city of Boston, Liberty For Ever” and depicting a fantastical townscape, this English ceramic mug (circa 1770s) evokes the early years of the American Revolution. The mug particularly celebrates the American city of Boston as a guardian of Liberty. It may date to the time of the Coercive Acts of 1774. Part of the British Crown’s punishment for the famous Boston Tea Party of 1773, these acts closed the port of Boston and suspended the Massachusetts governing charter. Rather than quelling the growing discontent, the Coercive Acts only stoked the fires of rebellion and garnered sympathy for Massachusetts in the colonies and among political sympathizers in England.</t>
  </si>
  <si>
    <t>Drum</t>
  </si>
  <si>
    <t>Made by Robert Crosman</t>
  </si>
  <si>
    <t>Taunton, Massachusetts</t>
  </si>
  <si>
    <t>Wood, Paper, Ink, Hemp, Iron</t>
  </si>
  <si>
    <t>This rare American-made military drum dates to 1740. The second oldest signed and dated American drum in existence, it is inscribed with the name of its maker, Robert Crosman of Taunton, Massachusetts.</t>
  </si>
  <si>
    <t>Printed by John Almon</t>
  </si>
  <si>
    <t>June 1776</t>
  </si>
  <si>
    <t>Bible</t>
  </si>
  <si>
    <t>Printed by Adrian Watkins</t>
  </si>
  <si>
    <t>Edinburgh, Scotland</t>
  </si>
  <si>
    <t>Leather, Paper, Ink, Silver</t>
  </si>
  <si>
    <t>1880-1900</t>
  </si>
  <si>
    <t>2003.00.0508</t>
  </si>
  <si>
    <t>Clock</t>
  </si>
  <si>
    <t>Made by Jacques Nicolas Pierre Francois Dubuc</t>
  </si>
  <si>
    <t>1805-1815</t>
  </si>
  <si>
    <t>Gilt Brass, Iron, Enamel, Glass</t>
  </si>
  <si>
    <t>Powder Horn</t>
  </si>
  <si>
    <t>Virginia</t>
  </si>
  <si>
    <t>1775-1776</t>
  </si>
  <si>
    <t>Canteen</t>
  </si>
  <si>
    <t>ca. 1777</t>
  </si>
  <si>
    <t>Jingdezhen, China</t>
  </si>
  <si>
    <t>1770-1775</t>
  </si>
  <si>
    <t>Hard-paste Porcelain, Enamels</t>
  </si>
  <si>
    <t>This porcelain punch bowl was made and decorated in China around 1770 for export to Britain and its American colonies. The design on the exterior of the bowl was intended to poke fun at those who had opposed the English politician John Wilkes (1727-97), a proponent of English civil liberties, parliamentary reform, and American rights. Wilkes was elected to the House of Commons several times, but was repeatedly expelled for attacking King George III and his loyalists. American patriots, including Boston’s Sons of Liberty, rallied to the cry of “Wilkes and Liberty!” and incorporated his name and likeness into broadsides, drinking bowls, cuff links, and other items.</t>
  </si>
  <si>
    <t>Musket</t>
  </si>
  <si>
    <t>Made by Thomas Palmer</t>
  </si>
  <si>
    <t>Iron, Steel, Brass, Wood (walnut)</t>
  </si>
  <si>
    <t>Philadelphia gunsmith Thomas Palmer made this musket in 1775. It is believed to have been one of the 40 muskets ordered by George Washington in January 1775 for the Prince William County Independent Company in Virginia. The First Continental Congress (September-October 1774) tried to secure the repeal of the “Intolerable Acts” by creating the Continental Association in order to enforce a boycott of British imported goods. Local “committees of safety” were charged with enforcing the boycott, and in many colonies, voluntary military organizations were formed to prepare for possible armed conflict. In Virginia, George Washington played an important role in organizing these military units known as “independent companies.” Between December 1774 and May 1775, Washington helped to purchase arms, uniforms, flags, and drill manuals from Philadelphia for several independent companies in Northern Virginia. As one of the most experienced military leaders in the colony, Washington served as commander of these companies, and attended at least six military reviews before departing for Philadelphia in May 1775 to attend the Second Continental Congress. Washington wore the uniform of the Fairfax County Independent Company while attending the Congress and was appointed Commander in Chief of the forces of the United Colonies (later the United States) on June 15, 1775.</t>
  </si>
  <si>
    <t>Thomas McDonogh</t>
  </si>
  <si>
    <t>North America</t>
  </si>
  <si>
    <t>Lieutenant John Ross of the 34th Foot</t>
  </si>
  <si>
    <t>Attributed to David Martin</t>
  </si>
  <si>
    <t>ca. 1769</t>
  </si>
  <si>
    <t>Lieutenant John Ross of the 34th Regiment was a distinguished member of the British Army. After the final campaigns of the French and Indian War, he explored and mapped the Mississippi Valley before rotating back to Great Britain with his regiment in the late-1760s. Ross returned to America in 1776 and participated in a number of battles in the North. This circa 1769 portrait, attributed to Scottish-born artist David Martin, depicts Ross after his first American tour of duty.</t>
  </si>
  <si>
    <t>Joachim du Perron, Comte de Revel</t>
  </si>
  <si>
    <t>Painted by Laurent-Bruno Francois Jourdain</t>
  </si>
  <si>
    <t>Besancon, France</t>
  </si>
  <si>
    <t>July 1786</t>
  </si>
  <si>
    <t>North America or Great Britain</t>
  </si>
  <si>
    <t>This detailed plan shows British, Hessian, and American troop positions and movements during the Battle of Brandywine, September 11, 1777. The long battle ended with Washington’s army withdrawing east towards Chester, Pennsylvania. The exhausted British Army encamped at Dilworth (visible at the right-center of this plan) and neighboring areas until September 15, when they resumed pursuit of Washington’s forces before capturing Philadelphia on September 26. During the four-day encampment on the battlefield, British engineers surveyed the area and recorded details of the engagement in a series of plans, including this example.</t>
  </si>
  <si>
    <t>Modern Reports, Being a Collection of Several Special Cases in the Court of King’s Bench</t>
  </si>
  <si>
    <t>Leather, Paper, Ink</t>
  </si>
  <si>
    <t>2003.00.0984</t>
  </si>
  <si>
    <t>The Museum owns five early 18th-century English law books that are listed in Patrick Henry’s 1799 estate inventory. Three volumes still bear Henry’s printed bookplate. Several were owned by other prominent Virginians before Henry acquired them, presumably in the early 1760s when he was studying and practicing law. One of these previous owners was Bartholomew Dandridge, whose older sister Martha Dandridge (Custis) married George Washington in January 1759. These rare volumes were acquired by the Valley Forge Historical Society, the Museum of the American Revolution’s predecessor organization, in 1910 at a sale of Henry family heirlooms in Philadelphia.</t>
  </si>
  <si>
    <t>Tune Book</t>
  </si>
  <si>
    <t>Written by Owen Madden</t>
  </si>
  <si>
    <t>New York</t>
  </si>
  <si>
    <t>ca. 1775</t>
  </si>
  <si>
    <t>Discharge</t>
  </si>
  <si>
    <t>June 7, 1783</t>
  </si>
  <si>
    <t>George Washington</t>
  </si>
  <si>
    <t>Published by C. Shepherd</t>
  </si>
  <si>
    <t>Mezzotint</t>
  </si>
  <si>
    <t>Brazier</t>
  </si>
  <si>
    <t>ca. 1780</t>
  </si>
  <si>
    <t>Iron, Copper, Wood</t>
  </si>
  <si>
    <t>Parade Banner</t>
  </si>
  <si>
    <t>Painted by John Archibald Woodside</t>
  </si>
  <si>
    <t>Silk, Paint</t>
  </si>
  <si>
    <t>Philadelphians celebrated the Marquis de Lafayette’s return to the United States in 1824 with a large parade that passed by Independence Hall. Artist John Archibald Woodside, who was born the same year as the victory at Yorktown, painted this silk banner with a portrait of Lafayette at the center for the parade. The “Victuallers of Philadelphia,” the butchers who supplied the residents, taverns, and inns with meat, carried this banner during the procession through the streets of the city. For some reason, Woodside painted over the word “Female,” perhaps to correct a mistake. The allegorical figures of fame (left) and liberty (right) hoist a crown of laurels over Lafayette’s head.</t>
  </si>
  <si>
    <t>Coat</t>
  </si>
  <si>
    <t>Pennsylvania</t>
  </si>
  <si>
    <t>1810-1820</t>
  </si>
  <si>
    <t>Linen, Wood</t>
  </si>
  <si>
    <t>Revolutionary War veteran Jacob Latch, of Lower Merion, Pennsylvania, wore this coat in the early 1800s, around the time he applied for a pension from the Federal Government for his military service. Latch enlisted in the Continental Army in 1776 at age 17, along with his father and brother. He later served in Captain John Young's Company of Colonel Jonathan Paschall's Regiment of Chester County militia, during the Valley Forge encampment of 1777-1778.</t>
  </si>
  <si>
    <t>Baron de Kalb Introducing Lafayette to Silas Deane</t>
  </si>
  <si>
    <t>Painted by Alonzo Chappel</t>
  </si>
  <si>
    <t>Cookie Mold</t>
  </si>
  <si>
    <t>1754-1801</t>
  </si>
  <si>
    <t>Wood</t>
  </si>
  <si>
    <t>2003.00.0079</t>
  </si>
  <si>
    <t>Christopher Ludwick (1720-1801), a native of Hesse-Darmstadt in the German-speaking region of central Europe, established a bakery in Philadelphia in 1754. Ludwick later served as Superintendent of Bakers in the Continental Army during the Revolutionary War. His descendants carefully preserved this carved wooden cookie board or mold as a memento of their ancestor’s role in the founding of the United States. They donated it to the Valley Forge Historical Society, the Museum of the American Revolution’s predecessor organization, in 1953.</t>
  </si>
  <si>
    <t>Currency</t>
  </si>
  <si>
    <t>Printed by David Hall and William Sellers</t>
  </si>
  <si>
    <t>Issued under the authority of the Continental Congress, this example of paper currency from the American Revolution bears the image of an eagle attacking a crane with the Latin motto “EXITUS IN DUBIO EST” (The Outcome is in Doubt). With no authority to tax, the Continental Congress was unable to prevent deep depreciation of its paper currency, and coupled with the widespread circulation of British counterfeit bills, gave rise to the phrase “Not Worth a Continental.”</t>
  </si>
  <si>
    <t>Sculpted by William Rush</t>
  </si>
  <si>
    <t>Terracotta</t>
  </si>
  <si>
    <t>2003.00.0497</t>
  </si>
  <si>
    <t>William Rush, a Philadelphia sculptor, Revolutionary War veteran, and founder of the Pennsylvania Academy of the Fine Arts, modeled this terracotta bust of George Washington for the Academy's Sixth Annual Exhibition in 1817. The original exhibition label noted: "From the familiarity of the artist with Washington, his opportunities of comparing his work with the original, and his acknowledged talent, it is claimed that this bust is the most perfect likeness existing."</t>
  </si>
  <si>
    <t>Small Sword</t>
  </si>
  <si>
    <t>Made by Jacques-T Lecourt</t>
  </si>
  <si>
    <t>Paris, Francis</t>
  </si>
  <si>
    <t>1774-1793</t>
  </si>
  <si>
    <t>Steel, Iron, Silver, Gold</t>
  </si>
  <si>
    <t>Regulations for the Order and Discipline of the Troops of the United States</t>
  </si>
  <si>
    <t>Printed by Eleazer Oswald</t>
  </si>
  <si>
    <t>Paper, Ink, Leather</t>
  </si>
  <si>
    <t>Prussian officer Friedrich Wilhelm Baron von Steuben developed a simplified system of drill and discipline during the Valley Forge encampment of 1777-1778 that helped to forge the Continental Army into an effective fighting force. First published in 1779, Baron von Steuben's "Regulations" remained the standard for the United States Army and state militia forces through the War of 1812. The English-born Eleazer Oswald, who issued this edition in Philadelphia in 1786, had served in the Continental Army throughout the Revolutionary War before returning to the printing trade.</t>
  </si>
  <si>
    <t>Badge</t>
  </si>
  <si>
    <t>England</t>
  </si>
  <si>
    <t>1750-1780</t>
  </si>
  <si>
    <t>Gold</t>
  </si>
  <si>
    <t>2013.04.0001</t>
  </si>
  <si>
    <t>This gold badge belonged to a member of The Loyal and Friendly Society of the Blew &amp;amp; Orange. The society was founded between 1733 and 1736 by officers of the King’s Own Royal Regiment to commemorate the Glorious Revolution of 1688 and the accession of the House of Hanover in 1714. On the eve of the American Revolution, the society included among its members numerous officers in the Boston Garrison, many of whom took part in the battles of Lexington and Concord.</t>
  </si>
  <si>
    <t>Iron, Steel, Wood, Brass</t>
  </si>
  <si>
    <t>During the Revolutionary War, American gunsmiths struggled to meet the enormous demand for military firearms to equip the Continental Army, as well as state and militia forces. As a result, they often used foreign and American-made parts in their work. This musket is a typical composite piece of wartime production, incorporating British and American components. The butt of this weapon is boldly marked “U.STATES” to designate public ownership and deter theft of government property. Surviving canteens, cartridge boxes, and other equipment used by the Continental Army bear similar marks.</t>
  </si>
  <si>
    <t>Chest</t>
  </si>
  <si>
    <t>1757-1763</t>
  </si>
  <si>
    <t>Wood (pine), Iron, Paint</t>
  </si>
  <si>
    <t>2015.22.0001</t>
  </si>
  <si>
    <t>Pocketbook</t>
  </si>
  <si>
    <t>Massachusetts</t>
  </si>
  <si>
    <t>Wool, Linen, Silk, Pasteboard</t>
  </si>
  <si>
    <t>Men carried decoratively stitched pocketbooks like this one to keep their money and personal papers organized. “Thomas noyes his book 1776” is stitched onto the pocket flap, indicating its owner and the year it was made for him. This book belonged to either Thomas Noyes III (born 1729) or his son, also named Thomas (born 1754), of Essex County, Massachusetts. Both father and son served in the Massachusetts militia during the Revolutionary War. As a member of the militia, one of the Noyes men may have also carried passes, oaths of allegiance, and mementos from home and loved ones in this pocketbook.</t>
  </si>
  <si>
    <t>Cocked Hat</t>
  </si>
  <si>
    <t>Probably Massachusetts</t>
  </si>
  <si>
    <t>1775-1800</t>
  </si>
  <si>
    <t>Felt, Linen, Pewter</t>
  </si>
  <si>
    <t>Cocked hats (hats with the three sides of the brim turned up) like this one were popular in civilian and military life throughout the 1700s. They later came to be called “tricorns.” Old stitching holes reveal that this hat was reshaped from a 1770s style into its current shape. The hat belonged to either Thomas Noyes III (born 1729) or his son, also named Thomas (born 1754), of Essex County, Massachusetts. Both father and son served in the Massachusetts militia during the Revolutionary War. A label inside the crown has the name Luther Noyes written on it and refers to a later owner who may have been a descendant of Thomas Noyes.</t>
  </si>
  <si>
    <t>Captain William Leslie</t>
  </si>
  <si>
    <t>Painted by a Follower of David Martin</t>
  </si>
  <si>
    <t>Great Britain</t>
  </si>
  <si>
    <t>1773-1777</t>
  </si>
  <si>
    <t>Captain William Leslie of the British 17th Regiment of Foot, shown in this portrait with Edinburgh Castle looming in the background, lost his life at the Battle of Princeton, New Jersey, on January 3, 1777. The son of a Scottish nobleman, Leslie purchased an officer’s commission in the 17th Regiment in 1773 and shipped off to America two years later. He fought during the New York campaign of 1776 and wrote home to his mother reflecting upon how the Revolutionary War seemed to be tearing America apart: “the Desolation that this unhappy Country has suffered must distress every feeling heart.” At the Battle of Princeton, Leslie led the troops under his command against General George Washington’s attacking army. Leslie was shot twice in the fray and died soon after at the age of 26. After the Continental Army captured the wagon that carried his corpse, the American troops buried Leslie’s body in Pluckemin, New Jersey. Philadelphia’s Dr. Benjamin Rush, a staunch Revolutionary and Leslie’s long-time friend who had studied medicine in Scotland, mourned over the officer’s death and paid for a headstone to be placed on Leslie’s grave after the war.</t>
  </si>
  <si>
    <t xml:space="preserve">Self-portrait </t>
  </si>
  <si>
    <t xml:space="preserve">Ireland or England </t>
  </si>
  <si>
    <t xml:space="preserve">Watercolor, Ink, Paper </t>
  </si>
  <si>
    <t xml:space="preserve">A New Method of Macarony Making, as practised at Boston </t>
  </si>
  <si>
    <t>Printed by Carrington Bowles</t>
  </si>
  <si>
    <t xml:space="preserve">London, England </t>
  </si>
  <si>
    <t>Published in London in 1774, this print spread news about the growing colonial resistance to British policies in America and helped to sway the British public’s opinion of the Sons of Liberty. The print mocks the Bostonians who tarred and feathered British tax official John Malcolm soon after the Boston Tea Party. Malcolm, who survived the attack, is shown begging for mercy as tea is about to be poured down his throat. The print hoped to encourage sympathy for Malcolm and ridicule for the Americans who assaulted him.</t>
  </si>
  <si>
    <t>Hilt made by Joseph Copp</t>
  </si>
  <si>
    <t>New London, Connecticut</t>
  </si>
  <si>
    <t>ca. 1757</t>
  </si>
  <si>
    <t>Silver, Steel, Iron, Wood</t>
  </si>
  <si>
    <t>French and Indian War veteran Colonel Jonathan Pettibone carried this small sword, engraved with his name, when he commanded the 18th Connecticut Militia Regiment during the New York campaign of 1776. From their positions in Manhattan, the Connecticut militiamen could hear raging cannon and gun fire as the Battle of Brooklyn Heights began on August 27th. Colonel Pettibone fell ill in September and died in Rye, New York, on his march home. In his will, Pettibone left this sword to his son Jonathan, who also served in the militia.</t>
  </si>
  <si>
    <t>1690-1710</t>
  </si>
  <si>
    <t>England or Germany</t>
  </si>
  <si>
    <t>Steel, Iron, Brass, Wood, Wool</t>
  </si>
  <si>
    <t>Made by Joseph Hunt</t>
  </si>
  <si>
    <t>1775-1780</t>
  </si>
  <si>
    <t>Iron, Steel, Wood, Paktong</t>
  </si>
  <si>
    <t>Pattern 1756 Long Land Musket</t>
  </si>
  <si>
    <t>1756-1768</t>
  </si>
  <si>
    <t>Hanger (sword) and Scabbard</t>
  </si>
  <si>
    <t>Lieutenant Colonel George Wilson of the 8th Pennsylvania Regiment carried this hanger (a short sword) during the Revolutionary War. In December 1776, Wilson and his regiment began a grueling winter march from their post near Pittsburgh to reinforce General George Washington’s dwindling army along the Delaware River. On December 5th, Wilson wrote that his troops were “ill Provided for a March at this season.” Some soldiers did not survive the over 300-mile trek. Wilson himself died of a sickness in February 1777, likely caused by the march, soon after the regiment joined up with Washington’s troops.</t>
  </si>
  <si>
    <t>Jacob Latch</t>
  </si>
  <si>
    <t>ca. 1840</t>
  </si>
  <si>
    <t>Charcoal, Chalk, Paper</t>
  </si>
  <si>
    <t>Office of War Information Poster, No. 26</t>
  </si>
  <si>
    <t>United States Government Printing Office</t>
  </si>
  <si>
    <t>Washington, DC</t>
  </si>
  <si>
    <t>Manuscript</t>
  </si>
  <si>
    <t>West Point, New York</t>
  </si>
  <si>
    <t>Made at Rappahannock Forge</t>
  </si>
  <si>
    <t>Falmouth, Virginia</t>
  </si>
  <si>
    <t>1775-1778</t>
  </si>
  <si>
    <t>Model 1766 Infantry Musket</t>
  </si>
  <si>
    <t>Probably made at Charleville Armory</t>
  </si>
  <si>
    <t>Charleville, France</t>
  </si>
  <si>
    <t>1766-1774</t>
  </si>
  <si>
    <t>Mehitable Potter, 100 years old, April 28, 1863</t>
  </si>
  <si>
    <t>Photographed by L.F. Hurd</t>
  </si>
  <si>
    <t xml:space="preserve">South Adams, Massachusetts </t>
  </si>
  <si>
    <t>Carte-de-visite</t>
  </si>
  <si>
    <t>Captain William Crosbie</t>
  </si>
  <si>
    <t>Attributed to Robert Hunter</t>
  </si>
  <si>
    <t>Dublin, Ireland</t>
  </si>
  <si>
    <t>ca. 1774</t>
  </si>
  <si>
    <t>2015.05.0001</t>
  </si>
  <si>
    <t>This is a rare portrait of a British officer who fought in the Battle of Lexington and Concord on April 19, 1775. Grenadier Captain William Crosbie of the 38th Regiment of Foot posed for this painting shortly before he sailed to America.</t>
  </si>
  <si>
    <t>Item</t>
  </si>
  <si>
    <t>This map celebrates the triumph of the allied Continental and French forces over the British Army at the Siege of Yorktown in 1781. German-born Continental Artillery officer Sebastian Bauman served at the siege and created this map from his surveys of the battlefield taken three days after the British Army’s surrender. The yellow rectangles plot the positions of the French troops, while the blue rectangles show the positions of the Continental Army during siege. Bauman included the location of General Washington’s headquarters just above the text describing the map. Engraved and published in Philadelphia in 1782, Bauman distributed copies of this map to fellow army officers to show off his skills and celebrate the victory.</t>
  </si>
  <si>
    <t>Saber (sword)</t>
  </si>
  <si>
    <t>Probably North America</t>
  </si>
  <si>
    <t>1775-1783</t>
  </si>
  <si>
    <t>Brass, Iron, Steel, Wood</t>
  </si>
  <si>
    <t>Cutlass</t>
  </si>
  <si>
    <t>Made at Klingenthal Factory</t>
  </si>
  <si>
    <t>Klingenthal, France</t>
  </si>
  <si>
    <t>1779-1783</t>
  </si>
  <si>
    <t>Iron, Steel, Brass</t>
  </si>
  <si>
    <t>American sailors aboard Continental Navy vessels and privateer ships often used French weapons, like this cutlass, as they battled the British Navy. Many ships of the Continental Navy outfitted themselves at the ports along the Atlantic coast of France and sailed north to harass British shipping. A cutlass such as this one could be used for hand-to-hand combat when a ship’s crew boarded an enemy vessel. Cutlers, or blade makers, at France’s royal sword manufactory at Klingenthal made this cutlass. Among the workers at Klingenthal were skilled cutlers recruited from Germany to make swords for the French military. Located in a culturally German region of France, Klingenthal roughly translates from German to the “valley of blades.”</t>
  </si>
  <si>
    <t>Attributed to Herculaneum Pottery</t>
  </si>
  <si>
    <t>1796-1800</t>
  </si>
  <si>
    <t>Creamware</t>
  </si>
  <si>
    <t xml:space="preserve">Washington’s Headquarters Flag (reproduction) </t>
  </si>
  <si>
    <t>Made by Sally Queen &amp;amp; Associates</t>
  </si>
  <si>
    <t>Arlington, Virginia</t>
  </si>
  <si>
    <t>Saber (sword) and Scabbard</t>
  </si>
  <si>
    <t>Made by Dru Drury</t>
  </si>
  <si>
    <t>1778-1779</t>
  </si>
  <si>
    <t>Leather, Silver, Hemp</t>
  </si>
  <si>
    <t>Made in London, this officer’s saber features a long, single-edged blade used for slashing. Dragoons, elite troops who could fight on either horseback or foot, typically carried sabers. This saber’s pommel is shaped like a lion, an ancient symbol of Great Britain.</t>
  </si>
  <si>
    <t>1776-1777</t>
  </si>
  <si>
    <t>Silver, Gold, Iron, Steel, Leather</t>
  </si>
  <si>
    <t>The stout blades on hangers like this one made them versatile fighting weapons. The shorter blade length made hangers easier for infantry officers to carry than longer-bladed sabers. This hanger’s gilt pommel is shaped like a lion, an ancient symbol of Great Britain.</t>
  </si>
  <si>
    <t>Cap Plates</t>
  </si>
  <si>
    <t>Germany</t>
  </si>
  <si>
    <t>1770-1777</t>
  </si>
  <si>
    <t>Brass</t>
  </si>
  <si>
    <t>Attributed to Jacob Gay</t>
  </si>
  <si>
    <t>Temple Farm, Massachusetts</t>
  </si>
  <si>
    <t>December 20, 1775</t>
  </si>
  <si>
    <t>Dorchester, Massachusetts</t>
  </si>
  <si>
    <t>December 26, 1775</t>
  </si>
  <si>
    <t>ca. 1770</t>
  </si>
  <si>
    <t>Engraved by Jacob Gay</t>
  </si>
  <si>
    <t>Warwick, Rhode Island</t>
  </si>
  <si>
    <t>December 26, 1777</t>
  </si>
  <si>
    <t>This charming powder horn was engraved for Samuel Dudley, a New England soldier serving in Warwick, Rhode Island, in December 1777. The engraved decoration — including a whimsical unicorn, a pair of moose, and two sword-wielding figures with the phrase "Try It Out" — is attributed to Jacob Gay, a prolific powder horn engraver whose surviving work spans 1758-1787. Gay may have been a soldier himself, carving horns to earn extra money or food while serving in the American Army.</t>
  </si>
  <si>
    <t>Communion Flagon</t>
  </si>
  <si>
    <t>ca. 1730</t>
  </si>
  <si>
    <t>Pewter, Brass</t>
  </si>
  <si>
    <t>Artifact</t>
  </si>
  <si>
    <t>June 9, 1783</t>
  </si>
  <si>
    <t>Cash Pallentine (also spelled Palatine) was among hundreds of African Americans who served in Connecticut regiments during the Revolution. He enlisted in 1777, serving until the end of the war. In 1783, with peace on the horizon, General George Washington began issuing discharges. Pallentine’s discharge, signed by Washington, states he served continuously and faithfully for six years, which included the winter at Valley Forge, the Battle of Monmouth, and time in the Hudson Valley.</t>
  </si>
  <si>
    <t>Hunting Shirt</t>
  </si>
  <si>
    <t>1780-1790</t>
  </si>
  <si>
    <t>Pistols</t>
  </si>
  <si>
    <t>1750-1760</t>
  </si>
  <si>
    <t>Iron, Steel, Wood (walnut), Brass, Silver</t>
  </si>
  <si>
    <t>German-American Brigadier General John Peter Gabriel Muhlenberg (1746-1807) carried these English holster pistols during the Revolutionary War. Born in Trappe, Pennsylvania, and educated in Philadelphia and Europe as a Lutheran minister, Muhlenberg commanded the 8th Virginia Regiment, a corps composed largely of German-speaking recruits raised in the Shenandoah Valley in 1776.</t>
  </si>
  <si>
    <t>Gorget</t>
  </si>
  <si>
    <t>Made by Thomas Hall or Thomas Hallows</t>
  </si>
  <si>
    <t>Silver</t>
  </si>
  <si>
    <t>France</t>
  </si>
  <si>
    <t>1767-1789</t>
  </si>
  <si>
    <t>Brass, Silver</t>
  </si>
  <si>
    <t>The silver escutcheon in the center of this brass officer’s gorget, a vestigial piece of armor worn around the neck by European infantry officers as a sign of rank, displays the royal arms of the Bourbon kings of France. French Army officers wore gorgets like this one while serving in America during the Revolutionary War. About 5,000 officers and enlisted men under the command of General Rochambeau, the largest contingent of French troops to come to America during the war, arrived at Newport, Rhode Island, in July 1780.</t>
  </si>
  <si>
    <t>Camp Cups</t>
  </si>
  <si>
    <t>Made by Edmund Milne</t>
  </si>
  <si>
    <t>ca. 1775-1783</t>
  </si>
  <si>
    <t>Wood, Iron, Steel, Brass</t>
  </si>
  <si>
    <t>Richard Wilson’s London gun-making firm produced military arms for the colony of New Jersey during and after the French and Indian War. Many of these arms were retained in the colony’s arsenal after the conflict with France and were later issued to New Jersey forces at the beginning of the Revolutionary War. This well-preserved example is marked “NEW JERSEY” on the butt plate, and “S/3” on the wrist plate, denoting government ownership in the former case, and the individual company letter and weapon number in the latter.</t>
  </si>
  <si>
    <t>Titi Livii Historiarum Volumen Septimum</t>
  </si>
  <si>
    <t>Printed by J. and R. Tonson and J. Watts</t>
  </si>
  <si>
    <t>Paper, Leather, Ink</t>
  </si>
  <si>
    <t>Virginian George Mason, a statesman and American Revolutionary later known as the “Father of the Bill Rights,” acquired this volume of ancient Roman history by the author and historian Livy (Titus Livius) in 1769. Mason and other members of America’s founding generation were careful students of history. They looked to the example of ancient Rome for guidance on the structure and operation of republican government. After George Mason died in 1792, his son, Thomson Mason, added his own signature and the year of his father’s passing to the title page. Also visible is the faded ink inscription “Gunston,” the name of the Mason home on the banks of the Potomac River south of George Washington’s Mount Vernon.</t>
  </si>
  <si>
    <t>1760s</t>
  </si>
  <si>
    <t>2017.29.02</t>
  </si>
  <si>
    <t>Name</t>
  </si>
  <si>
    <t>Link</t>
  </si>
  <si>
    <t>Type</t>
  </si>
  <si>
    <t>D8</t>
  </si>
  <si>
    <t>Dsescription</t>
  </si>
  <si>
    <t>One of the most iconic commemorative works on the American Revolution, William B. T. Trego’s March to Valley Forge was painted in Philadelphia and exhibited at the Pennsylvania Academy of the Fine Arts in 1883. Trego’s inspiration was a passage from Washington Irving’s Life of Washington: "Sad and dreary was the march to Valley Forge, uncheered by the recollection of any recent triumph. . . Hungry and cold were the poor fellows who had so long been keeping the field . . . provisions were scant, clothing was worn out, and so badly were they off for shoes, that the footsteps of many might be tracked in blood." Trego suffered a debilitating illness as a child (possibly polio) that left him unable to move his fingers and hands. He painted this masterful work by gripping a brush between the thumb and forefinger of one hand while moving it with the other.</t>
  </si>
  <si>
    <t xml:space="preserve">This painting depicts a scene from the Battle of Germantown, fought on October 4, 1777. On the right is a rendering of the Benjamin Chew House, where troops from the British 40th Regiment held off the attacking Continental Army in some of the bloodiest fighting of the battle. British Army light infantry Lieutenant Richard St. George Mansergh St. George, an Irish artist and veteran of the battle, commissioned this painting by Italian artist Xavier della Gatta in 1782. St. George is depicted in the foreground of the painting being carried off the battlefield after suffering a traumatic head wound in the opening moments of the action. He battled the long-term consequences of that wound for the rest of his life. </t>
  </si>
  <si>
    <t xml:space="preserve">American artist Harrington G. Fitzgerald (1847-1930) painted this version of General George Washington’s famous 1776 crossing of the Delaware River about 100 years after the Revolutionary War. Instead of showing the actual crossing of the Delaware, Fitzgerald shows the Continental Army soldiers on the New Jersey side of the river as they regroup and prepare to march on Trenton. Fitzgerald spent much of his life working for a family-owned newspaper, but he found relief from the stresses of his professional life in painting. He studied painting under several notable American artists, including Thomas Eakins and John Singer Sargent. Fitzgerald is best known for his works depicting the landscape of Valley Forge. </t>
  </si>
  <si>
    <t xml:space="preserve">This seven-foot-long panoramic watercolor includes the only known eyewitness depiction of George Washington’s headquarters tent during the Revolutionary War. Continental Army engineer Pierre Charles L’Enfant, the Frenchman who later designed the street plan of Washington, DC, painted this watercolor in the fall of 1782. Washington’s tent is shown on the left side, perched on a hill overlooking the Continental Army’s encampment at Verplanck’s Point, New York, which took place from the end of August to mid-October 1782. A French Army officer who visited the camp recalled, “I noticed on a little hill which overlooked the camp… the quarters of General Washington.” </t>
  </si>
  <si>
    <t xml:space="preserve">The 1777-1778 winter encampment at Valley Forge became synonymous with hunger, deprivation, and cold, all feelings expressed in this painting by American artist Harrington G. Fitzgerald (1847-1930). This bleak scene shows a foraging party of Continental Army soldiers returning to camp after searching the countryside for food and other necessities. Fitzgerald spent much of his life working for a family-owned newspaper, but he found relief from the stresses of his professional life in painting. He studied painting under several notable American artists, including Thomas Eakins and John Singer Sargent. Fitzgerald is best known for his works depicting the landscape of Valley Forge. </t>
  </si>
  <si>
    <t>Thomas McDonogh was an Irish immigrant who served as private secretary to John Wentworth, the last royal governor of New Hampshire. McDonogh fled the colony with Wentworth in 1775 and was a loyalist refugee in Nova Scotia. Following the 1783 Peace of Paris, McDonogh was appointed British consul in Boston, a post in which he served until his death in 1805. The Museum owns this 1794 portrait of McDonogh along with two of McDonogh’s diplomatic uniforms closely modeled on the pattern of a British general officer's uniform.</t>
  </si>
  <si>
    <t>Joachim du Perron, Comte de Revel shown in this 1786 portrait by Laurent-Bruno Francois Jourdain, was a French Army officer who served in seven naval battles during the Revolutionary War, as well as at the sieges of Yorktown (1781) and Gloucester (1782). Following the announcement of its alliance with the United States in 1778, France provided military support to the Americans throughout the later end of the Revolutionary War. The Franco-American victory at the Siege of Yorktown proved the enormous value of the French alliance.</t>
  </si>
  <si>
    <t>After George Washington took command of the Continental Army, the foreign and domestic market for prints of the newly minted general grew. In 1775, an English printer named “C. Shepherd” published a mezzotint of General Washington on horseback. While the image bears little resemblance to Washington, the print claimed it was “Done from an original drawing from the Life by Alexr. Campbell of Williamsburgh in Virginia.” Martha Washington received one of these prints in January 1776. Her husband commented: “Mr. Campbell whom I never saw (to my knowledge) has made a very formidable figure of the Commander in Chief giving him a sufficient portion of Terror in his Countenance.” This is one of the earliest prints of General George Washington.</t>
  </si>
  <si>
    <t>This 1857 painting by American artist Alonzo Chappel (1828-1887) entitled Baron de Kalb Introducing Lafayette to Silas Deane shows the German-born officer Johann de Kalb introducing American diplomat Silas Deane to the youthful Marquis de Lafayette in Paris in 1776. The Continental Congress had sent Deane as a secret agent to France in order to seek financial and military assistance against the British. Deane enlisted the services of a number of foreign officers. De Kalb and Lafayette, who arrived in Philadelphia in 1777, took leadership roles in the Continental Army.</t>
  </si>
  <si>
    <t xml:space="preserve">Richard St. George Mansergh St. George, an Irish veteran of the British Army, sketched this self-portrait as he struggled with the painful effects of a traumatic brain injury that he suffered during the Revolutionary War. St. George survived a fractured skull, likely caused by a musket ball, at the Battle of Germantown in 1777 and lived with a surgically placed silver plate in his head until his death 20 years later. Shown on the left wearing a black silk cap and robe, contemporary observers said that St. George wore this unusual clothing after the war to conceal the scars of his injury. The two demonic figures and the ruins of the building on the right of the self-portrait may reflect what St. George described as the “nightly hallucinations and dreadful visions” that he constantly experienced. St. George signed the back of the sketch, “Richard Mansergh St. George By Himself.” </t>
  </si>
  <si>
    <t xml:space="preserve">Mezzotint </t>
  </si>
  <si>
    <t xml:space="preserve">This poster, produced by the United States Office of War Information (OWI) during the Second World War (1939-1945), makes a direct link between the Revolutionary War and the fight against the Axis powers (Germany, Italy, and Japan). In this image, a column of American GIs marches past a ragged line of Continental Army soldiers at Valley Forge, over whom General George Washington’s Headquarters Flag (now in the collection of the Museum of the American Revolution) waves. This stirring image encouraged Americans of the 1940s to see themselves as the latest of many generations who had struggled and sacrificed in the name of Liberty. Artist Bernard Perlin (1918-2014), the son of Russian Jewish immigrants, used American soldiers as models for the painting from which this poster was produced. A larger version of the poster hung in Union Station in Washington, DC, during the Second World War. </t>
  </si>
  <si>
    <t xml:space="preserve">Historians have identified over 150 photographs of people, including this image of Mehitable Potter, who were born before the end of the Revolutionary War in 1783. Potter was born in 1763, the same year that the French and Indian War ended, and passed away in 1864 while the American Civil War raged. This photograph of her, taken in the 100th year of her life, shows one of the last surviving members of the Revolutionary generation. Born in Rhode Island, Potter lived the latter years of her life in the town of Adams in western Massachusetts. When one of Potter’s neighbors, Joseph Hathaway, applied for a veteran’s pension from the Federal Government in 1845, Potter testified in court to help verify Hathaway’s service as a soldier during the Revolutionary War. </t>
  </si>
  <si>
    <t xml:space="preserve">Map of the Siege of Yorktown </t>
  </si>
  <si>
    <t xml:space="preserve">Drawn by Sebastian Bauman; Engraved by Robert Scot </t>
  </si>
  <si>
    <t xml:space="preserve">Philadelphia, Pennsylvania </t>
  </si>
  <si>
    <t xml:space="preserve">Paper, Ink </t>
  </si>
  <si>
    <t xml:space="preserve">Descriptive List </t>
  </si>
  <si>
    <t xml:space="preserve">June 16, 1782 </t>
  </si>
  <si>
    <t xml:space="preserve">This “descriptive list” for a company of the 7th Massachusetts Regiment was taken at West Point, New York, in 1782. Descriptive lists offer a rare look at the social makeup of the Continental Army. This list records the names, birthplaces, residences, physical descriptions, and enlistment details for the 50 men in the company, including five soldiers of African descent. Many of the New England regiments of the Continental Army were integrated, with soldiers of African and Native American descent serving alongside white soldiers. </t>
  </si>
  <si>
    <t>General George Washington's original sleeping and office tent from the Revolutionary War was carefully preserved by generations of the Custis and Lee families following the deaths of George and Martha Washington. In 1909, Reverend W. Herbert Burk of Norristown, Pennsylvania, purchased the tent from Miss Mary Custis Lee, daughter of Confederate General Robert E. Lee. Reverend Burk considered the tent the “supreme relic of Washington” and he made it the centerpiece of an American history museum he established at Valley Forge. Reverend Burk’s Valley Forge Historical Society, the predecessor organization of the Museum of the American Revolution, served as the longtime steward of Washington’s tent.</t>
  </si>
  <si>
    <t>Cousins Fannie B. Lovell and Ellen Lovell Crosby, descendants of Betty Washington Lewis (George Washington’s sister), donated this silk flag to Reverend W. Herbert Burk’s museum of American history at Valley Forge in 1910. Two of Lewis’s sons served as private secretaries for Washington, and a third served as an officer in Washington’s “Life Guard” during the Revolutionary War. According to family tradition, this flag marked the presence of General Washington throughout much of the war. Also known as a standard due to its modest size, it is believed to be the earliest surviving 13-star American flag. Reverend Burk’s Valley Forge Historical Society, the predecessor organization of the Museum of the American Revolution, served as the longtime steward of Washington’s standard.</t>
  </si>
  <si>
    <t xml:space="preserve">Tin-glazed earthenware </t>
  </si>
  <si>
    <t xml:space="preserve">Moravian gunsmith John Christian Oerter (also known in German as Johann Christian Oerter) made this rifle at his workshop in Pennsylvania’s Lehigh Valley, about 60 miles north of Philadelphia. Settled by German-speaking immigrants in the 1740s, the Lehigh Valley became a rifle-making center long before the Revolutionary War. Oerter added brass inlay to the stock of this rifle to enhance its decoration. Oerter’s name, an abbreviation of Christian’s Spring, and the year he made the rifle is engraved on the top of the barrel: “C. OERTER. C. SP. 1774.” Riflemen from Virginia, Maryland, and Pennsylvania joined the newly-formed Continental Army in 1775 armed with highly-accurate rifles like this one. John Adams described these men as “the most accurate Marksmen in the World.” </t>
  </si>
  <si>
    <t>French artisan Jacques Nicolas Pierre Francois Dubuc produced a small number of elegant mantel clocks for export to the American market following George Washington’s death in December 1799. Featuring a nobly posed Washington derived from John Trumbull’s 1792 painting George Washington Before the Battle of Trenton, this clock includes a tableau representing Washington resigning his commission to return to civilian life. This act recalled the virtuous example of Roman general Cincinnatus, affirming the principle of civilian control of the military. Words from Major General Richard Henry Lee’s famous eulogy of Washington appear below the dial: “first in war, first in peace, and first in the hearts of his countrymen.”</t>
  </si>
  <si>
    <t>Virginia rifleman William Waller carried this powder horn during the Revolutionary War. The horn is decorated with several popular slogans of the American Revolution, including “LIBERTY or DEATH” and “APPEAL TO HEAVEN.” Waller was captured by British and Hessian forces after the fall of Fort Washington near New York City on November 16, 1776.</t>
  </si>
  <si>
    <t>This extremely rare wooden soldier’s canteen is marked “USTATES,” indicating Continental Army usage. Alarmed by chronic shortfalls in arms and equipment caused in part by thefts and negligence, the Continental Congress directed in February 1777 that all the arms and accoutrements belonging to the country should be marked to show ownership by the United States.</t>
  </si>
  <si>
    <t>This handwritten tune book includes scores and fingering instructions for music of the Revolutionary era. It was compiled by Owen Madden, a schoolmaster from Ulster County, New York, who served as a fifer in the 3rd New York Regiment in 1775.</t>
  </si>
  <si>
    <t xml:space="preserve">2003.01.282 </t>
  </si>
  <si>
    <t>Private Jeremiah McGowan of the 2nd New York Regiment received this discharge, signed by General George Washington, Commander in Chief of the Continental Army, on June 7, 1783. He served for six years, including the Valley Forge Winter of 1777-1778.</t>
  </si>
  <si>
    <t>This 18th-century copper and iron brazier was designed to hold hot coals and serve as a portable cooking surface. Such implements were particularly useful for military officers and their servants, who spent much of the campaign season (spring through fall) living in tents and frequently shifting the location of their encampments. This example was acquired by the Valley Forge Historical Society in 1918 with the tradition that it had been brought to America by the Marquis de Lafayette during the Revolutionary War, and that Lafayette had presented it to Henry “Light Horse Harry” Lee, a cavalry commander from Virginia.</t>
  </si>
  <si>
    <t>On the left is a rare French presentation sword from the period of the American Revolution that bears the inscription “Ex Dono Regis” (Given by the King) on its gilded blade. The chiseled steel hilt is overlaid in gold with the royal arms of France, the royal monogram, and a silver-gilt medallion portrait of King Louis XVI. The military trophies incorporated into its design suggest that it was awarded for bravery. On the right is a finely decorated English sword, with cast and chased military trophies on the shells of its silver hilt, that bears the motto “Ne me tire pas sans raison, Ne me remette point sans honneur” (Draw me not without reason, Sheath me not without honor) on its blade. It is of a common form widely used by military officers in the British and American armies of 1775-83.</t>
  </si>
  <si>
    <t xml:space="preserve">Probably North America </t>
  </si>
  <si>
    <t xml:space="preserve">British Army Lieutenant James Grant kept his personal belongings in this chest while he served in America during the French and Indian War. Grant could have stored items such as extra clothing, shoes, his papers, writing implements, and tobacco in this chest. A Scotsman, Grant joined the 77th Regiment, a Highland Scottish regiment, as a volunteer in 1757 and received an officer’s commission the following year. The 77th Regiment participated in the successful campaign to capture Fort Duquesne (present-day Pittsburgh) from the French and their American Indian allies in 1758. The regiment later battled Native Americans fighting for their own independence against the British in 1763 in the conflict known as Pontiac’s Rebellion. Grant retired from the British Army in 1763 and settled in Dutchess County, New York. During the Revolutionary War, American Revolutionaries became suspicious of his loyalties as a former British officer. The state of New York put Grant on parole as if he were a prisoner of war to prevent him from subverting the Revolutionaries’ cause. </t>
  </si>
  <si>
    <t xml:space="preserve">During the 1775-1776 Siege of Boston, British officers reported the deadly marksmanship of American riflemen. In response, Scottish officer Patrick Ferguson developed a rifled firearm that could be loaded from the breech, or rear of the barrel. This allowed the user to fire up to six rounds a minute, nearly twice the rate of fire of a musket, combined with the accuracy of a rifle. Some British officers purchased these “Ferguson” rifles, like this example, to use on campaign in North America. </t>
  </si>
  <si>
    <t xml:space="preserve">Replacement guard made by James Frazer and Pleasant Baird </t>
  </si>
  <si>
    <t xml:space="preserve">North America; guard made in Kentucky </t>
  </si>
  <si>
    <t xml:space="preserve">Iron, Steel, Silver, Wood, Leather </t>
  </si>
  <si>
    <t xml:space="preserve">Iron, Steel, Brass, Wood (walnut) </t>
  </si>
  <si>
    <t xml:space="preserve">A Virginia soldier probably carried this musket during the Revolutionary War. Made at Rappahannock Forge near Fredericksburg, Virginia, this musket is a copy of a British Army musket from the period. Only a few muskets made at Rappahannock Forge are known to survive. All are engraved “I Hunter” on their barrels, referring to James Hunter, a wealthy Virginia merchant who owned Rappahannock Forge (the letter “I” was often used in place of the letter “J” during the 1700s). Enslaved and free workers at Rappahannock Forge made pistols, muskets, swords, and camp equipment for the American Army. James Hunter employed several Pennsylvania gunsmiths, including Joseph Perkin who worked at the forge from 1775-1778. Perkin’s initials are marked on the interior of this musket’s lock plate. </t>
  </si>
  <si>
    <t xml:space="preserve">This musket is one of over 100,000 French arms imported into the United States during the Revolutionary War. In 1777, just before the military alliance between France and the United States became official, 60,000 French arms, mostly muskets, arrived in American ports. This musket is marked “UNITED STATES” on the stock, evidence of its use by a soldier in the Continental Army. On February 24, 1777, the Continental Congress resolved “That all arms or accoutrements, belonging to the united States, shall be stamped or marked with the words UNITED STATES.” Congress wanted to combat theft of Continental Army property. Just over a month later, Sergeant Jeremiah Greenman of Rhode Island noted that he and fellow soldiers encamped at Morristown, New Jersey, “were ordered to town to have our guns stamped US.” </t>
  </si>
  <si>
    <t xml:space="preserve">This sword belonged to Major General Benjamin Lincoln, General Washington’s second in command at the Siege of Yorktown. When British General Cornwallis sent his own second in command to surrender in his place at Yorktown on October 19, 1781, Washington had Lincoln accept their surrender. </t>
  </si>
  <si>
    <t xml:space="preserve">Produced in England in the 1790s, this ceramic punch bowl was made to be purchased by an American. The exterior of the bowl is decorated with a likeness of Benjamin Franklin, the Great Seal of the United States, and a likeness of General George Washington based on Swiss-born artist Pierre Eugène Du Simitière’s 1779 portrait of the general. The exterior also features a short poem, “Health to the Sick / Honour to the Brave: / Success to the Lover: / and Freedom to the / Slave,” originally published in England in 1717. Inspired by the American Revolution, debates about combatting both political slavery and racial slavery flourished in both Great Britain and America. It is unknown if the owner of this bowl intended for the poem to be a call for an end to the enslavement of people of African descent or a celebration of the success of the United States in combating British tyranny. However, the bowl is an example of how people used everyday objects to express their opinions and provoke conversation during the American Revolution. </t>
  </si>
  <si>
    <t>Astronaut John Glenn carried this reproduction of General George Washington’s Headquarters Flag — the original of which is in collection of the Museum of the American Revolution — into space as part of the lead up to the 1999 bicentennial commemorations of Washington’s death in 1799. Glenn, who had become the first American to orbit the earth in 1962, returned to space aboard the Space Shuttle Discovery in 1998. At 77, he was the oldest person ever to enter space. He and the other members of the Discovery crew traveled 3.6 million miles and orbited the earth 134 times. This flag accompanied them on the entire journey.</t>
  </si>
  <si>
    <t>These embossed metal pieces once adorned the distinctive military headgear worn by Hessian fusiliers — specialized soldiers who served under British command during the Revolutionary War. Between 1776 and 1783, about 30,000 German-speaking soldiers from the principalities of Hesse-Kassel, Hesse-Hanau, Anhalt-Zerbst, Anspach-Bayreuth, Waldeck, and Brunswick served in America. The largest number of these troops came from Hesse-Kassel, giving rise to the nickname “Hessians.” The United States Army Corps of Engineers recovered these fragments in 1915 during dredging operations in the Delaware River near Philadelphia. Recent historical research suggests that they were lost in March 1778, when a British transport ship carrying supplies and reinforcements — including Hessian soldiers — sank after striking obstructions that had been placed in the river by the American Army the previous year.</t>
  </si>
  <si>
    <t>New Englander Abel Scott of Whately, Massachusetts, served in five military campaigns during the Revolutionary War, first marching from home the day after the battles of Lexington and Concord in April 1775. Scott, or a fellow soldier, engraved this detailed view of British-occupied Boston as British and New England forces eyed one another across the fortifications and harbor encircling the town. British troops and Loyalist refugees were forced to evacuate Boston after American troops constructed fortifications and placed artillery on Dorchester Heights on the night of March 4, 1776.</t>
  </si>
  <si>
    <t xml:space="preserve">2003.00.0123 </t>
  </si>
  <si>
    <t>The profuse decoration on this engraved powder horn includes a view of Philadelphia’s busy waterfront on the eve of the American Revolution. During the 1760s and early 1770s, urban populations in places like Boston, New York, and Philadelphia played an important role in protests against British taxation and coercive measures that eventually led to armed revolt.</t>
  </si>
  <si>
    <t xml:space="preserve">This communion flagon is engraved for Bristol Tabernacle, an English church established by the Reverend George Whitefield in the 1750s. Whitefield was one of the most influential religious figures in colonial British America. An English Anglican minister, Whitefield traveled widely through Britain and the colonies. He preached charismatic sermons before huge crowds and called for listeners to be “born again” in their Protestant faith. Whitefield was a key figure in the mid-1700s religious revival today called the first “Great Awakening.” </t>
  </si>
  <si>
    <t>In the summer of 1775, riflemen from Pennsylvania, Maryland, and Virginia joined the New England troops already gathered in Boston to form a Continental Army. Many of these southern soldiers wore fringed linen hunting shirts like this example. A uniquely American garment that originated in the Virginia backcountry, it was thought to evoke the dress of Native Americans. As stories of the riflemen’s marksmanship spread, General Washington saw a psychological advantage in outfitting thousands more of the American soldiers in these distinctive shirts. On July 24, 1776, Washington wrote that he “earnestly encourages the use of hunting shirts,” in part because they were “justly supposed to carry no small terror to the enemy, who think every such person a complete marksman.”</t>
  </si>
  <si>
    <t xml:space="preserve">This silver gorget was made in England in 1775-1776 for an officer of the British Army’s 60th or Royal American Regiment. Originally raised in Pennsylvania and surrounding colonies during the French and Indian War, elements of the 60th Regiment served in many campaigns of the Revolutionary War. The officers in the 60th Regiment wore matching silver gorgets, coat buttons, coat trimmings, and belt buckles as part of their uniforms to show off their rank. </t>
  </si>
  <si>
    <t>General George Washington purchased several sets of silver camp cups during the Revolutionary War (1775-1783) for use in his field headquarters. These cups, with later commemorative inscriptions, are part of a set of twelve that descended in the Washington family with a history of having been owned and used by the Commander-in-Chief during the war. They were made by Philadelphia silversmith Edmund Milne, who also made a set of smaller camp cups for the general in August 1777.</t>
  </si>
  <si>
    <t>The March to Valley Forge, December 19, 1777</t>
  </si>
  <si>
    <t>Pennsylvania Evening Post</t>
  </si>
  <si>
    <t>This punch bowl wishes “Success to the Triphena,” a merchant ship that made frequent trips between Philadelphia and Liverpool, England, in the 1760s. Americans celebrated the benefits of British trade by drinking and toasting with bowls like this. In 1765, the Triphena carried an appeal from Philadelphia merchants to merchants in Liverpool requesting their help in lobbying the British Parliament to repeal the Stamp Act. Archaeologists found this punch bowl in 2014 on the site of what is now the Museum of the American Revolution.</t>
  </si>
  <si>
    <t>Poems on Various Subjects, Religious and Moral, written by Phillis Wheatley, the first published African-American author, was lauded in both Europe and the American colonies as an example of the artistic and intellectual equality of people of African descent. Wheatley was born in Africa but was captured and brought to America as an enslaved child. This original copy of her work, published in 1773, is autographed by Wheatley.</t>
  </si>
  <si>
    <t>This July 6, 1776 issue of the Pennsylvania Evening Post presented the first newspaper printing of the newly adopted Declaration of Independence. Most Americans read or heard the words of the Declaration of Independence via newspapers and printed broadsides. In Philadelphia, a German language translation appeared in the July 9, 1776 issue of the Pennsylvanischer Staatsbote, a newspaper that served Pennsylvania’s large German-speaking community. By the end of August 1776, the Declaration had been reprinted in at least 29 newspapers and 14 broadsides.</t>
  </si>
  <si>
    <t>Philadelphia printers issued works that stoked debate over the American Revolution on both sides of the Atlantic. In the early months of 1776, printer and bookseller Robert Bell published Thomas Paine’s clarion call for independence, Common Sense, and Loyalist James Chalmers’ pointed rebuke, Plain Truth. London publisher John Almon bundled the two works in this June 1776 edition for British readers who wondered "whether Americans are, or are not prepared for a state of independence."</t>
  </si>
  <si>
    <t xml:space="preserve">This dramatic scene commemorates the October 1781 Siege of Yorktown in Virginia. The original 1836 painting hangs in the Hall of Battles at the Palace of Versailles in France. This full-sized copy is believed to have been painted by French artist Henry LeGrand and exhibited at the Chicago Art Union in 1860. The central figure (gesturing) represents French General Rochambeau. General George Washington and General Lafayette (visible on Washington’s right) stand in front of a striped officer’s tent. They are surrounded by French officers and soldiers who fought alongside Washington’s army. The American Indian figures in the background may represent a delegation of Oneida and other Native Americans who witnessed the surrender of British General Cornwallis and his army. Yorktown was one of the last major military actions of the Revolutionary War. </t>
  </si>
  <si>
    <t xml:space="preserve">Revolutionary War veteran Jacob Latch, of Lower Merion, Pennsylvania, posed for this portrait in the early 1840s, around the time he applied for a pension from the Federal Government for his military service. Latch enlisted in the Continental Army in 1776 at age 17, along with his father and brother. He later served in Captain John Young's Company of Colonel Jonathan Paschall's Regiment of Chester County militia, during the Valley Forge encampment of 1777-1778. Latch passed away in 1845. </t>
  </si>
  <si>
    <t xml:space="preserve">Colonel John Chandler of the 8th Connecticut Regiment carried this small sword during the Revolutionary War as a symbol of his rank. The sword was over 60 years old by the time of the war. Chandler’s command of the 8th Connecticut began on January 1, 1777 but ended during the Valley Forge encampment when he resigned on March 5, 1778. Chandler decided to retire from the Continental Army because he had been suffering from kidney stones. The now famous memoirist of the Revolutionary War, Joseph Plumb Martin, served in Chandler’s regiment. </t>
  </si>
  <si>
    <t xml:space="preserve">This British musket was made following a pattern developed in 1756 and is marked to the 4th Regiment of Foot, also known as the “King’s Own.” Most British infantrymen carried muskets like this one at the beginning of the Revolutionary War. This musket’s provenance, or history of ownership, suggests that an American soldier captured it from the “King’s Own” regiment at the Battle of Germantown, near Philadelphia, on October 4, 1777. </t>
  </si>
  <si>
    <t xml:space="preserve">2017.02.01 </t>
  </si>
  <si>
    <t xml:space="preserve">Captain Peter Perit used this horn at the Siege of Boston in 1775. The decorations on it include the lion and unicorn from the British Royal Coat of Arms. The horn also bears the motto “Success to America” and a pine tree, a symbol of New England. In 1775, Americans fought for their liberty but still considered themselves loyal subjects of the British Crown. </t>
  </si>
  <si>
    <t xml:space="preserve">Many privately-owned American firearms from the 1700s were made from a variety of parts. This musket was probably assembled in Massachusetts using local wood for the stock and a French-made lock and barrel. The musket belonged to either Thomas Noyes III (born 1729) or his son, also named Thomas (born 1754), of Essex County, Massachusetts. The initials “TN” are carved on the lock-side of the firearm near the butt plate. Both father and son served in the Massachusetts militia during the Revolutionary War. </t>
  </si>
  <si>
    <t xml:space="preserve">2012.00.0001 </t>
  </si>
  <si>
    <t>James Cullum</t>
  </si>
  <si>
    <t>Media</t>
  </si>
  <si>
    <t>Date</t>
  </si>
  <si>
    <t>Location</t>
  </si>
  <si>
    <t>Creator</t>
  </si>
  <si>
    <t>Description</t>
  </si>
  <si>
    <t>Immediately after surviving the Battle of Bunker Hill, soldier Francis Merrifield of Ipswich, Massachusetts, inscribed the following note inside this Bible: “Cambridge June 17, 1775. I desire to bless God for his Kind aperince [appearance] in delivering me and sparing my life in the late battle fought on Bunker’s Hill. I desire to devote this spared life to His glory and honour. In witness my hand, Francis Merrifield.”</t>
  </si>
  <si>
    <t>Landenberger Family Foundation</t>
  </si>
  <si>
    <t>On Loan From</t>
  </si>
  <si>
    <t>Address</t>
  </si>
  <si>
    <t>City</t>
  </si>
  <si>
    <t>State</t>
  </si>
  <si>
    <t>ZIP</t>
  </si>
  <si>
    <t>Phone</t>
  </si>
  <si>
    <t>607 8th Street</t>
  </si>
  <si>
    <t>Philadelphia</t>
  </si>
  <si>
    <t>PA</t>
  </si>
  <si>
    <t>609-922-0598</t>
  </si>
  <si>
    <t>McNeil Americana Collection</t>
  </si>
  <si>
    <t>2600 Benjamin Franklin Pkwy</t>
  </si>
  <si>
    <t>215-763-8100</t>
  </si>
  <si>
    <t>Dr. Marion T. Lane</t>
  </si>
  <si>
    <t>215-348-1047</t>
  </si>
  <si>
    <t>3821 Nanlyn Farm Circle</t>
  </si>
  <si>
    <t>Doylestown</t>
  </si>
  <si>
    <t>B. Owen Williams</t>
  </si>
  <si>
    <t>Napanoch</t>
  </si>
  <si>
    <t>NY</t>
  </si>
  <si>
    <t>10 Dogwood Dr</t>
  </si>
  <si>
    <t>914-479-7221</t>
  </si>
  <si>
    <t>Peter H. Tillou</t>
  </si>
  <si>
    <t>109 Prospect Street</t>
  </si>
  <si>
    <t>Litchfield</t>
  </si>
  <si>
    <t>CT</t>
  </si>
  <si>
    <t>06759</t>
  </si>
  <si>
    <t>860-567-5706</t>
  </si>
  <si>
    <t>Pennsylvania Society of Sons of the Revolution</t>
  </si>
  <si>
    <t>215-545-1888</t>
  </si>
  <si>
    <t>121 South Broad Street</t>
  </si>
  <si>
    <t>Address2</t>
  </si>
  <si>
    <t>19107</t>
  </si>
  <si>
    <t>215-253-6731</t>
  </si>
  <si>
    <t>19106</t>
  </si>
  <si>
    <t>2118 Massachusetts Avenue, NW</t>
  </si>
  <si>
    <t>American Revolution Institute</t>
  </si>
  <si>
    <t>Washington</t>
  </si>
  <si>
    <t>DC</t>
  </si>
  <si>
    <t>20008</t>
  </si>
  <si>
    <t>202-785-2040</t>
  </si>
  <si>
    <t>104 South Fifth Street</t>
  </si>
  <si>
    <t>David Center for the American Revolution</t>
  </si>
  <si>
    <t>215-440-3400</t>
  </si>
  <si>
    <t>Massachusetts Historical Society</t>
  </si>
  <si>
    <t>1154 Boylston St</t>
  </si>
  <si>
    <t>Boston</t>
  </si>
  <si>
    <t>02215</t>
  </si>
  <si>
    <t>MA</t>
  </si>
  <si>
    <t>617-536-1608</t>
  </si>
  <si>
    <t>George Washington's Mount Vernon</t>
  </si>
  <si>
    <t>3200 Mount Vernon Memorial Highway</t>
  </si>
  <si>
    <t>Mount Vernon</t>
  </si>
  <si>
    <t>VA</t>
  </si>
  <si>
    <t>22121</t>
  </si>
  <si>
    <t>703-780-2000</t>
  </si>
  <si>
    <t>National Society Of The Sons Of The American Revolution</t>
  </si>
  <si>
    <t>809 West Main Street</t>
  </si>
  <si>
    <t>Louisville</t>
  </si>
  <si>
    <t>KY</t>
  </si>
  <si>
    <t>40202</t>
  </si>
  <si>
    <t>502-589-1776</t>
  </si>
  <si>
    <t>American Antiquarian Society</t>
  </si>
  <si>
    <t>185 Salisbury St</t>
  </si>
  <si>
    <t>Worcester</t>
  </si>
  <si>
    <t>01609</t>
  </si>
  <si>
    <t>508-755-5221</t>
  </si>
  <si>
    <t>American Revolution Museum at Yorktown</t>
  </si>
  <si>
    <t>200 Water St</t>
  </si>
  <si>
    <t>Yorktown</t>
  </si>
  <si>
    <t>23690</t>
  </si>
  <si>
    <t>757-253-4838</t>
  </si>
  <si>
    <t>Old Barracks Museum</t>
  </si>
  <si>
    <t>101 Barrack Street</t>
  </si>
  <si>
    <t>Trenton</t>
  </si>
  <si>
    <t>NJ</t>
  </si>
  <si>
    <t>08608</t>
  </si>
  <si>
    <t>609-396-1776</t>
  </si>
  <si>
    <t>53 Cambridge Turnpike</t>
  </si>
  <si>
    <t>Concord</t>
  </si>
  <si>
    <t>01742</t>
  </si>
  <si>
    <t>978-369-9763</t>
  </si>
  <si>
    <t>Concord Museum</t>
  </si>
  <si>
    <t>Southern Revolutionary War Institute</t>
  </si>
  <si>
    <t>803-818-6768</t>
  </si>
  <si>
    <t>SC</t>
  </si>
  <si>
    <t>York</t>
  </si>
  <si>
    <t>212 E Jefferson St.</t>
  </si>
  <si>
    <t>item_id</t>
  </si>
  <si>
    <t>2003.00.0897</t>
  </si>
  <si>
    <t>Gwenni</t>
  </si>
  <si>
    <t>McGarahan</t>
  </si>
  <si>
    <t>gmcgarahan0@51.la</t>
  </si>
  <si>
    <t>Non-binary</t>
  </si>
  <si>
    <t>Betty</t>
  </si>
  <si>
    <t>Rowatt</t>
  </si>
  <si>
    <t>browatt1@nasa.gov</t>
  </si>
  <si>
    <t>Male</t>
  </si>
  <si>
    <t>Carly</t>
  </si>
  <si>
    <t>Servante</t>
  </si>
  <si>
    <t>cservante2@princeton.edu</t>
  </si>
  <si>
    <t>Genderqueer</t>
  </si>
  <si>
    <t>Duffie</t>
  </si>
  <si>
    <t>Francomb</t>
  </si>
  <si>
    <t>dfrancomb3@nasa.gov</t>
  </si>
  <si>
    <t>Agender</t>
  </si>
  <si>
    <t>Belia</t>
  </si>
  <si>
    <t>Pickvance</t>
  </si>
  <si>
    <t>bpickvance4@theglobeandmail.com</t>
  </si>
  <si>
    <t>Bigender</t>
  </si>
  <si>
    <t>Addie</t>
  </si>
  <si>
    <t>Eby</t>
  </si>
  <si>
    <t>aeby5@uol.com.br</t>
  </si>
  <si>
    <t>Amery</t>
  </si>
  <si>
    <t>Audiss</t>
  </si>
  <si>
    <t>aaudiss6@senate.gov</t>
  </si>
  <si>
    <t>Sioux</t>
  </si>
  <si>
    <t>Littlecote</t>
  </si>
  <si>
    <t>slittlecote7@etsy.com</t>
  </si>
  <si>
    <t>Parsifal</t>
  </si>
  <si>
    <t>MacGowing</t>
  </si>
  <si>
    <t>pmacgowing8@goo.gl</t>
  </si>
  <si>
    <t>Genderfluid</t>
  </si>
  <si>
    <t>Penny</t>
  </si>
  <si>
    <t>Bracco</t>
  </si>
  <si>
    <t>pbracco9@businessweek.com</t>
  </si>
  <si>
    <t>Female</t>
  </si>
  <si>
    <t>Blancha</t>
  </si>
  <si>
    <t>Sorrie</t>
  </si>
  <si>
    <t>bsorriea@state.tx.us</t>
  </si>
  <si>
    <t>Corny</t>
  </si>
  <si>
    <t>Ambrogini</t>
  </si>
  <si>
    <t>cambroginib@addthis.com</t>
  </si>
  <si>
    <t>Rodge</t>
  </si>
  <si>
    <t>Colnet</t>
  </si>
  <si>
    <t>rcolnetc@bloglines.com</t>
  </si>
  <si>
    <t>Polygender</t>
  </si>
  <si>
    <t>Damiano</t>
  </si>
  <si>
    <t>Kornel</t>
  </si>
  <si>
    <t>dkorneld@hp.com</t>
  </si>
  <si>
    <t>Mandy</t>
  </si>
  <si>
    <t>Perrinchief</t>
  </si>
  <si>
    <t>mperrinchiefe@unblog.fr</t>
  </si>
  <si>
    <t>Broddy</t>
  </si>
  <si>
    <t>Howis</t>
  </si>
  <si>
    <t>bhowisf@mac.com</t>
  </si>
  <si>
    <t>52-171.135</t>
  </si>
  <si>
    <t>77-64.182</t>
  </si>
  <si>
    <t>100-247.154</t>
  </si>
  <si>
    <t>5-195.112</t>
  </si>
  <si>
    <t>75-206.168</t>
  </si>
  <si>
    <t>15-140.127</t>
  </si>
  <si>
    <t>133-125.65</t>
  </si>
  <si>
    <t>2009-88-N</t>
  </si>
  <si>
    <t>2003-36-B</t>
  </si>
  <si>
    <t>2017-93-K</t>
  </si>
  <si>
    <t>2013-72-F</t>
  </si>
  <si>
    <t>2004-41-U</t>
  </si>
  <si>
    <t>QC9GWL</t>
  </si>
  <si>
    <t>CmPfvN</t>
  </si>
  <si>
    <t>mKqRj9</t>
  </si>
  <si>
    <t>NHVqet</t>
  </si>
  <si>
    <t xml:space="preserve">G393 F965 F876 </t>
  </si>
  <si>
    <t xml:space="preserve">CS5 C592h </t>
  </si>
  <si>
    <t>rbpe00202000</t>
  </si>
  <si>
    <t>rbpe0010300a</t>
  </si>
  <si>
    <t>rbpe00103220</t>
  </si>
  <si>
    <t>Sigfried</t>
  </si>
  <si>
    <t>710704113-4</t>
  </si>
  <si>
    <t>2316:79c2:d26a:634a:741b:3b30:ce46:4503/119</t>
  </si>
  <si>
    <t>a6efb3a1-dd7d-4af8-8850-07fab6e13199</t>
  </si>
  <si>
    <t>org</t>
  </si>
  <si>
    <t>slashdot</t>
  </si>
  <si>
    <t>Tin</t>
  </si>
  <si>
    <t>83-0753220</t>
  </si>
  <si>
    <t>Bonnibelle</t>
  </si>
  <si>
    <t>431294687-6</t>
  </si>
  <si>
    <t>16a0:c3d7:56ff:45d:ad94:955c:9eec:cbf1/125</t>
  </si>
  <si>
    <t>91e74f2b-1706-4a46-bd01-a468006bcc76</t>
  </si>
  <si>
    <t>com</t>
  </si>
  <si>
    <t>wunderground</t>
  </si>
  <si>
    <t>Stronghold</t>
  </si>
  <si>
    <t>64-8597323</t>
  </si>
  <si>
    <t>Carmina</t>
  </si>
  <si>
    <t>139864591-5</t>
  </si>
  <si>
    <t>ba41:c704:d50:714a:5b84:8919:3016:7849/125</t>
  </si>
  <si>
    <t>a5a06ac0-6752-4785-adcb-cda48b1379ee</t>
  </si>
  <si>
    <t>nydailynews</t>
  </si>
  <si>
    <t>Redhold</t>
  </si>
  <si>
    <t>19-3097871</t>
  </si>
  <si>
    <t>Amandi</t>
  </si>
  <si>
    <t>195013673-6</t>
  </si>
  <si>
    <t>d5ef:2f00:f942:d388:d61d:43df:51b1:179a/44</t>
  </si>
  <si>
    <t>be5d220d-4485-47c6-9be9-21a76fd89241</t>
  </si>
  <si>
    <t>au</t>
  </si>
  <si>
    <t>smh</t>
  </si>
  <si>
    <t>Biodex</t>
  </si>
  <si>
    <t>37-2341259</t>
  </si>
  <si>
    <t>Marta</t>
  </si>
  <si>
    <t>594010962-4</t>
  </si>
  <si>
    <t>f084:64f5:987d:13b0:c6f7:b620:7c54:5724/21</t>
  </si>
  <si>
    <t>b7882ba3-ef92-4243-97e3-f42e4f7de798</t>
  </si>
  <si>
    <t>info</t>
  </si>
  <si>
    <t>aboutads</t>
  </si>
  <si>
    <t>Bytecard</t>
  </si>
  <si>
    <t>96-6536448</t>
  </si>
  <si>
    <t>Zedekiah</t>
  </si>
  <si>
    <t>028053901-0</t>
  </si>
  <si>
    <t>7766:eefe:c1f5:80c2:21ae:43de:3743:f4e2/105</t>
  </si>
  <si>
    <t>985f60d0-f3aa-4fc7-881a-7d103c8bf591</t>
  </si>
  <si>
    <t>purevolume</t>
  </si>
  <si>
    <t>Lotlux</t>
  </si>
  <si>
    <t>28-8065690</t>
  </si>
  <si>
    <t>Cristabel</t>
  </si>
  <si>
    <t>872530105-5</t>
  </si>
  <si>
    <t>9689:748:8a96:471c:970f:2460:f090:fc93/2</t>
  </si>
  <si>
    <t>dda3a819-4453-497a-887c-0c0534e68dcf</t>
  </si>
  <si>
    <t>gd</t>
  </si>
  <si>
    <t>is</t>
  </si>
  <si>
    <t>Trippledex</t>
  </si>
  <si>
    <t>63-2664431</t>
  </si>
  <si>
    <t>Cleveland</t>
  </si>
  <si>
    <t>601054462-9</t>
  </si>
  <si>
    <t>9436:2117:dc8b:553b:5e12:e682:cc56:174a/122</t>
  </si>
  <si>
    <t>c57bbcdb-b2b5-4f53-8eee-b418a9172eb2</t>
  </si>
  <si>
    <t>gov</t>
  </si>
  <si>
    <t>oaic</t>
  </si>
  <si>
    <t>Mat Lam Tam</t>
  </si>
  <si>
    <t>58-3847803</t>
  </si>
  <si>
    <t>Samaria</t>
  </si>
  <si>
    <t>064286440-3</t>
  </si>
  <si>
    <t>84d1:a3d1:863b:87e6:f947:53cc:9453:14e9/89</t>
  </si>
  <si>
    <t>51f047f1-c0ff-40bb-8073-06843cc73224</t>
  </si>
  <si>
    <t>edu</t>
  </si>
  <si>
    <t>washington</t>
  </si>
  <si>
    <t>Zaam-Dox</t>
  </si>
  <si>
    <t>21-7642550</t>
  </si>
  <si>
    <t>Cori</t>
  </si>
  <si>
    <t>224832801-X</t>
  </si>
  <si>
    <t>9a69:7d5f:8d76:2121:24d9:94a9:5f51:ec6b/51</t>
  </si>
  <si>
    <t>972f9cef-2871-42b5-b061-9b1a08fdc906</t>
  </si>
  <si>
    <t>fr</t>
  </si>
  <si>
    <t>google</t>
  </si>
  <si>
    <t>Domainer</t>
  </si>
  <si>
    <t>49-3805409</t>
  </si>
  <si>
    <t>Timmi</t>
  </si>
  <si>
    <t>079531665-8</t>
  </si>
  <si>
    <t>53ee:e704:28ca:e150:9cb6:5be9:35e5:c017/59</t>
  </si>
  <si>
    <t>2e6dff94-815d-42bf-bfa5-ee2a79bd815c</t>
  </si>
  <si>
    <t>mayoclinic</t>
  </si>
  <si>
    <t>Zontrax</t>
  </si>
  <si>
    <t>69-6989345</t>
  </si>
  <si>
    <t>Roger</t>
  </si>
  <si>
    <t>970821283-0</t>
  </si>
  <si>
    <t>f86d:204e:566:f5e3:a8ff:f877:4697:2d3/124</t>
  </si>
  <si>
    <t>bf082f39-7613-496f-b0d4-8c18bf469989</t>
  </si>
  <si>
    <t>squidoo</t>
  </si>
  <si>
    <t>Flexidy</t>
  </si>
  <si>
    <t>99-0678373</t>
  </si>
  <si>
    <t>Creighton</t>
  </si>
  <si>
    <t>545291299-1</t>
  </si>
  <si>
    <t>3e1f:484a:7028:be95:a306:3e70:4cf8:f47/22</t>
  </si>
  <si>
    <t>fb28f23d-8068-4f41-9935-41b3b15a9552</t>
  </si>
  <si>
    <t>utexas</t>
  </si>
  <si>
    <t>Daltfresh</t>
  </si>
  <si>
    <t>87-1298761</t>
  </si>
  <si>
    <t>Leonhard</t>
  </si>
  <si>
    <t>216602680-X</t>
  </si>
  <si>
    <t>66fe:7dd6:3dc4:bfc4:dda9:dd4:766:ca5/93</t>
  </si>
  <si>
    <t>87358d9f-632b-4910-acc6-113e16bdc7d2</t>
  </si>
  <si>
    <t>pl</t>
  </si>
  <si>
    <t>Bamity</t>
  </si>
  <si>
    <t>17-9904459</t>
  </si>
  <si>
    <t>Mylo</t>
  </si>
  <si>
    <t>072113558-7</t>
  </si>
  <si>
    <t>bc01:a4af:708b:2217:f4db:fb89:c0f8:4453/67</t>
  </si>
  <si>
    <t>710b935e-79ed-40b3-8e2e-daac8f0d2594</t>
  </si>
  <si>
    <t>alexa</t>
  </si>
  <si>
    <t>Alpha</t>
  </si>
  <si>
    <t>94-6093641</t>
  </si>
  <si>
    <t>Farra</t>
  </si>
  <si>
    <t>741808070-0</t>
  </si>
  <si>
    <t>812f:c8d8:d08e:c457:ccd:2b55:2f93:5097/107</t>
  </si>
  <si>
    <t>5831a879-773e-45da-9041-4df08916a991</t>
  </si>
  <si>
    <t>businessinsider</t>
  </si>
  <si>
    <t>Subin</t>
  </si>
  <si>
    <t>54-0066518</t>
  </si>
  <si>
    <t>Sibeal</t>
  </si>
  <si>
    <t>593858516-3</t>
  </si>
  <si>
    <t>e5a4:bb85:2143:e992:dfb5:d05:e8c2:ab47/112</t>
  </si>
  <si>
    <t>cf8487f6-25e3-4f00-8a53-203dae8fd1cc</t>
  </si>
  <si>
    <t>jp</t>
  </si>
  <si>
    <t>i2i</t>
  </si>
  <si>
    <t>Toughjoyfax</t>
  </si>
  <si>
    <t>00-4857136</t>
  </si>
  <si>
    <t>Diarmid</t>
  </si>
  <si>
    <t>602926655-1</t>
  </si>
  <si>
    <t>3140:7cbd:fd05:fed1:a04a:6d89:5b6e:3c8/8</t>
  </si>
  <si>
    <t>126b295f-c0f1-460a-a3fc-5a85f8d4d013</t>
  </si>
  <si>
    <t>issuu</t>
  </si>
  <si>
    <t>26-8227125</t>
  </si>
  <si>
    <t>Todd</t>
  </si>
  <si>
    <t>521273604-8</t>
  </si>
  <si>
    <t>4413:c6a9:46fc:8b3:a1b2:b422:3dd9:b5f1/103</t>
  </si>
  <si>
    <t>d248f5bd-4380-4691-a041-d4683d84662a</t>
  </si>
  <si>
    <t>ifeng</t>
  </si>
  <si>
    <t>Job</t>
  </si>
  <si>
    <t>18-5449666</t>
  </si>
  <si>
    <t>Theobald</t>
  </si>
  <si>
    <t>258919811-6</t>
  </si>
  <si>
    <t>a69b:6dac:8c8c:522c:6ef6:98e:65f9:c442/98</t>
  </si>
  <si>
    <t>18f44ead-3c78-4992-a69e-821280c01e95</t>
  </si>
  <si>
    <t>ca</t>
  </si>
  <si>
    <t>cbc</t>
  </si>
  <si>
    <t>19-8770223</t>
  </si>
  <si>
    <t>Kathie</t>
  </si>
  <si>
    <t>474582088-7</t>
  </si>
  <si>
    <t>278:d00b:752e:43df:d440:e930:f3eb:aedc/116</t>
  </si>
  <si>
    <t>2a2c63f2-565c-417a-8627-ac9885ecf422</t>
  </si>
  <si>
    <t>marriott</t>
  </si>
  <si>
    <t>Vagram</t>
  </si>
  <si>
    <t>90-5084693</t>
  </si>
  <si>
    <t>Sella</t>
  </si>
  <si>
    <t>464533700-9</t>
  </si>
  <si>
    <t>e739:7308:3219:f2e2:b9c1:2005:9c0a:df57/21</t>
  </si>
  <si>
    <t>91726bd1-13e5-4d58-be85-3d48325ea848</t>
  </si>
  <si>
    <t>java</t>
  </si>
  <si>
    <t>Kanlam</t>
  </si>
  <si>
    <t>73-8655425</t>
  </si>
  <si>
    <t>Kristen</t>
  </si>
  <si>
    <t>417765511-2</t>
  </si>
  <si>
    <t>da36:1be:1e49:c047:9e6f:58a0:fed3:333d/39</t>
  </si>
  <si>
    <t>1d45091b-c7da-4a39-bba3-ab5865c1b2c7</t>
  </si>
  <si>
    <t>ru</t>
  </si>
  <si>
    <t>narod</t>
  </si>
  <si>
    <t>Tempsoft</t>
  </si>
  <si>
    <t>25-3709771</t>
  </si>
  <si>
    <t>Janelle</t>
  </si>
  <si>
    <t>208215473-4</t>
  </si>
  <si>
    <t>efb9:b271:712e:51f4:b96:e03c:60d0:80a9/1</t>
  </si>
  <si>
    <t>a7150882-21dc-47cd-b8c6-1b89a823049a</t>
  </si>
  <si>
    <t>youtube</t>
  </si>
  <si>
    <t>Fintone</t>
  </si>
  <si>
    <t>85-4947342</t>
  </si>
  <si>
    <t>Audre</t>
  </si>
  <si>
    <t>141067380-4</t>
  </si>
  <si>
    <t>d9c0:cddd:2515:4851:bb3b:351f:73a5:a0ca/14</t>
  </si>
  <si>
    <t>080dfdf7-7ca9-415a-90d5-e8699ba9d888</t>
  </si>
  <si>
    <t>addtoany</t>
  </si>
  <si>
    <t>95-9294853</t>
  </si>
  <si>
    <t>Wallie</t>
  </si>
  <si>
    <t>628237305-0</t>
  </si>
  <si>
    <t>8c10:f576:3e39:354f:13b4:2c3f:90d5:f923/22</t>
  </si>
  <si>
    <t>c4d3ec98-b1a4-42c8-8173-91dc70782fc6</t>
  </si>
  <si>
    <t>fda</t>
  </si>
  <si>
    <t>Asoka</t>
  </si>
  <si>
    <t>20-8728649</t>
  </si>
  <si>
    <t>Perry</t>
  </si>
  <si>
    <t>044838654-2</t>
  </si>
  <si>
    <t>6f3a:e14:df58:9021:ab27:1fa3:1113:457/70</t>
  </si>
  <si>
    <t>054fe757-229b-4166-9977-08badd1e3345</t>
  </si>
  <si>
    <t>list-manage</t>
  </si>
  <si>
    <t>It</t>
  </si>
  <si>
    <t>66-1953441</t>
  </si>
  <si>
    <t>Frederigo</t>
  </si>
  <si>
    <t>325555033-5</t>
  </si>
  <si>
    <t>2d04:604a:2268:540e:6e1f:d6d1:c11e:7d0a/12</t>
  </si>
  <si>
    <t>01ae94be-8edd-4f21-b195-61286aa70922</t>
  </si>
  <si>
    <t>hubpages</t>
  </si>
  <si>
    <t>Rank</t>
  </si>
  <si>
    <t>28-9348889</t>
  </si>
  <si>
    <t>Hannah</t>
  </si>
  <si>
    <t>965569977-3</t>
  </si>
  <si>
    <t>d580:5b4:2aea:6621:c854:2cb5:1f7b:9715/89</t>
  </si>
  <si>
    <t>6c654fe8-39c0-4927-b775-fdee4a93fc15</t>
  </si>
  <si>
    <t>76-0964719</t>
  </si>
  <si>
    <t>Patricio</t>
  </si>
  <si>
    <t>140416314-X</t>
  </si>
  <si>
    <t>f18b:910c:c946:55a3:9d0b:af1a:f925:2489/115</t>
  </si>
  <si>
    <t>6305570c-42ce-447d-b664-e44e6d6373f5</t>
  </si>
  <si>
    <t>technorati</t>
  </si>
  <si>
    <t>Konklux</t>
  </si>
  <si>
    <t>18-1154047</t>
  </si>
  <si>
    <t>Cher</t>
  </si>
  <si>
    <t>970030775-1</t>
  </si>
  <si>
    <t>2a3f:5f73:729b:327f:f707:14b8:72e1:a5ae/95</t>
  </si>
  <si>
    <t>af7c2b21-8be9-450c-a5b1-9b5456a3b208</t>
  </si>
  <si>
    <t>economist</t>
  </si>
  <si>
    <t>Konklab</t>
  </si>
  <si>
    <t>45-2070991</t>
  </si>
  <si>
    <t>Baird</t>
  </si>
  <si>
    <t>569645400-3</t>
  </si>
  <si>
    <t>81c7:1a3b:cd15:6e9:4b42:f77e:e9fc:f080/66</t>
  </si>
  <si>
    <t>7b5167a9-3491-46e2-a61d-5702a9e4cab6</t>
  </si>
  <si>
    <t>sbwire</t>
  </si>
  <si>
    <t>Cardguard</t>
  </si>
  <si>
    <t>35-0213627</t>
  </si>
  <si>
    <t>Johanna</t>
  </si>
  <si>
    <t>123293817-3</t>
  </si>
  <si>
    <t>eb8e:bc3f:2af5:b6e8:c74e:8c16:935c:509a/121</t>
  </si>
  <si>
    <t>1ca370dc-8198-4c6f-96a1-559eb74a11e4</t>
  </si>
  <si>
    <t>edublogs</t>
  </si>
  <si>
    <t>Wrapsafe</t>
  </si>
  <si>
    <t>89-2070776</t>
  </si>
  <si>
    <t>Kerr</t>
  </si>
  <si>
    <t>969778689-5</t>
  </si>
  <si>
    <t>871:ec39:9e7a:f8eb:68a0:b372:17d5:3800/86</t>
  </si>
  <si>
    <t>d34c7a95-fd48-4b5a-90d5-90e2887b7e7d</t>
  </si>
  <si>
    <t>diigo</t>
  </si>
  <si>
    <t>Zamit</t>
  </si>
  <si>
    <t>96-8585748</t>
  </si>
  <si>
    <t>Rey</t>
  </si>
  <si>
    <t>443597699-4</t>
  </si>
  <si>
    <t>f2dc:8b52:a0b9:ca01:a2b6:8651:c6e6:dd57/71</t>
  </si>
  <si>
    <t>9bc2e1e8-8e8f-4877-a894-77b545ff474e</t>
  </si>
  <si>
    <t>canalblog</t>
  </si>
  <si>
    <t>Pannier</t>
  </si>
  <si>
    <t>35-4456128</t>
  </si>
  <si>
    <t>Sherill</t>
  </si>
  <si>
    <t>184655289-3</t>
  </si>
  <si>
    <t>1494:e5e6:d95:7ac8:b24:93e:a9c5:f5dd/110</t>
  </si>
  <si>
    <t>d5bcbcc5-91be-47e2-ade4-fda9bbd66931</t>
  </si>
  <si>
    <t>cyberchimps</t>
  </si>
  <si>
    <t>63-7056820</t>
  </si>
  <si>
    <t>Derry</t>
  </si>
  <si>
    <t>786488894-1</t>
  </si>
  <si>
    <t>1dec:8673:13de:f7dc:8042:ea71:2e79:df1b/107</t>
  </si>
  <si>
    <t>f40ae004-e701-4e3e-95a6-6fb5dc21aa2c</t>
  </si>
  <si>
    <t>xing</t>
  </si>
  <si>
    <t>Zoolab</t>
  </si>
  <si>
    <t>26-0795028</t>
  </si>
  <si>
    <t>Ximenes</t>
  </si>
  <si>
    <t>146059700-1</t>
  </si>
  <si>
    <t>eb41:a6a8:d5ad:d592:5e18:c780:77bc:fa1/44</t>
  </si>
  <si>
    <t>80e5b6c9-0d31-4815-8d90-8ddb22eae6ec</t>
  </si>
  <si>
    <t>net</t>
  </si>
  <si>
    <t>clickbank</t>
  </si>
  <si>
    <t>57-9529038</t>
  </si>
  <si>
    <t>Hugo</t>
  </si>
  <si>
    <t>399574695-0</t>
  </si>
  <si>
    <t>62b1:55fb:36d:1805:e337:a529:5403:a4b4/20</t>
  </si>
  <si>
    <t>f3406b81-bf68-4286-9711-2d9768820230</t>
  </si>
  <si>
    <t>me</t>
  </si>
  <si>
    <t>about</t>
  </si>
  <si>
    <t>66-0477255</t>
  </si>
  <si>
    <t>Aloysia</t>
  </si>
  <si>
    <t>203924532-4</t>
  </si>
  <si>
    <t>3068:da35:8095:4f85:67d2:e4f9:f7c0:4abf/99</t>
  </si>
  <si>
    <t>35aea804-eb20-4456-a973-c9d4c6e19bc2</t>
  </si>
  <si>
    <t>auda</t>
  </si>
  <si>
    <t>56-2582114</t>
  </si>
  <si>
    <t>Nicol</t>
  </si>
  <si>
    <t>644290254-4</t>
  </si>
  <si>
    <t>923b:2e69:29:bdb7:2481:b6bf:1b8e:3f5c/16</t>
  </si>
  <si>
    <t>8796d23e-c061-437a-bbf1-a83bd6091981</t>
  </si>
  <si>
    <t>wordpress</t>
  </si>
  <si>
    <t>Alphazap</t>
  </si>
  <si>
    <t>13-0202559</t>
  </si>
  <si>
    <t>Roldan</t>
  </si>
  <si>
    <t>115650630-1</t>
  </si>
  <si>
    <t>275c:82f9:a0dc:4ca8:bc68:67da:27ee:8e5/8</t>
  </si>
  <si>
    <t>12f8b1d8-e96e-4400-b910-f4cc93194052</t>
  </si>
  <si>
    <t>newsvine</t>
  </si>
  <si>
    <t>67-2251582</t>
  </si>
  <si>
    <t>Remy</t>
  </si>
  <si>
    <t>683944145-8</t>
  </si>
  <si>
    <t>7781:503c:19b:a245:6243:786e:efbb:6908/82</t>
  </si>
  <si>
    <t>d004c585-bb25-487f-bc5a-659e712aeae2</t>
  </si>
  <si>
    <t>ftc</t>
  </si>
  <si>
    <t>Regrant</t>
  </si>
  <si>
    <t>61-8460691</t>
  </si>
  <si>
    <t>Konstance</t>
  </si>
  <si>
    <t>131913571-4</t>
  </si>
  <si>
    <t>1ebe:8221:df51:9d4a:393e:a9bf:8cd2:2ee2/51</t>
  </si>
  <si>
    <t>54811003-abca-4c01-bbfb-26cb36d821f4</t>
  </si>
  <si>
    <t>prnewswire</t>
  </si>
  <si>
    <t>28-4584820</t>
  </si>
  <si>
    <t>Bessy</t>
  </si>
  <si>
    <t>839303745-X</t>
  </si>
  <si>
    <t>cfd9:f4b1:e42c:3168:3896:368f:ba5:dc74/108</t>
  </si>
  <si>
    <t>28ca3e9a-02ed-4af6-9e65-ed7288cd4069</t>
  </si>
  <si>
    <t>yelp</t>
  </si>
  <si>
    <t>54-5507572</t>
  </si>
  <si>
    <t>Hedvige</t>
  </si>
  <si>
    <t>128892625-1</t>
  </si>
  <si>
    <t>bd10:e81b:2304:9dc1:15f6:ca59:4f4c:5e32/29</t>
  </si>
  <si>
    <t>a7248f50-dce3-4996-9dd9-f1d4d7e5da80</t>
  </si>
  <si>
    <t>businessweek</t>
  </si>
  <si>
    <t>Ronstring</t>
  </si>
  <si>
    <t>24-5437042</t>
  </si>
  <si>
    <t>Leese</t>
  </si>
  <si>
    <t>353304072-0</t>
  </si>
  <si>
    <t>2616:2a71:9810:1e91:e77f:4452:c388:cf77/31</t>
  </si>
  <si>
    <t>c5b381d3-5c47-4833-8c5d-8317e387172a</t>
  </si>
  <si>
    <t>us</t>
  </si>
  <si>
    <t>imageshack</t>
  </si>
  <si>
    <t>32-6807100</t>
  </si>
  <si>
    <t>Marcia</t>
  </si>
  <si>
    <t>589865933-1</t>
  </si>
  <si>
    <t>132e:9190:fb75:8fdf:79e8:62e3:95c6:ca83/102</t>
  </si>
  <si>
    <t>1a472f08-fd1c-4620-9153-716c755fa59a</t>
  </si>
  <si>
    <t>imdb</t>
  </si>
  <si>
    <t>Veribet</t>
  </si>
  <si>
    <t>21-4394306</t>
  </si>
  <si>
    <t>Tomasina</t>
  </si>
  <si>
    <t>861614136-7</t>
  </si>
  <si>
    <t>c17e:237:ee80:672e:e52c:e8c:4927:2c4d/99</t>
  </si>
  <si>
    <t>8da9d574-ce6a-4a09-b3ef-8ac4bb69d3ee</t>
  </si>
  <si>
    <t>Cookley</t>
  </si>
  <si>
    <t>84-8896782</t>
  </si>
  <si>
    <t>Idelle</t>
  </si>
  <si>
    <t>441701139-7</t>
  </si>
  <si>
    <t>3f88:8da2:2f4e:7427:aee4:956f:8d39:8310/41</t>
  </si>
  <si>
    <t>2a6424c8-4033-4821-9f74-29b978a2e6d8</t>
  </si>
  <si>
    <t>dailymotion</t>
  </si>
  <si>
    <t>93-3374729</t>
  </si>
  <si>
    <t>Marv</t>
  </si>
  <si>
    <t>789502838-3</t>
  </si>
  <si>
    <t>ebb4:e9fa:99e8:234d:52d4:60eb:e657:47fa/95</t>
  </si>
  <si>
    <t>3102c2c9-916b-4903-8173-0a059862d501</t>
  </si>
  <si>
    <t>psu</t>
  </si>
  <si>
    <t>61-1714664</t>
  </si>
  <si>
    <t>Worthy</t>
  </si>
  <si>
    <t>168555491-1</t>
  </si>
  <si>
    <t>cc8a:a532:cb0e:c821:1b6f:8fba:a8e9:367/116</t>
  </si>
  <si>
    <t>57803da5-7b71-4a47-8dbe-b85d8053b591</t>
  </si>
  <si>
    <t>06-5800046</t>
  </si>
  <si>
    <t>Alyce</t>
  </si>
  <si>
    <t>129424732-8</t>
  </si>
  <si>
    <t>ba39:8023:3c93:fb9:fdc5:7aeb:3347:c3a8/15</t>
  </si>
  <si>
    <t>9c868258-5a66-4c1b-831f-fafc16e39409</t>
  </si>
  <si>
    <t>drupal</t>
  </si>
  <si>
    <t>17-4474096</t>
  </si>
  <si>
    <t>Ricard</t>
  </si>
  <si>
    <t>800231807-2</t>
  </si>
  <si>
    <t>cc:539c:8bb4:f5c5:a698:71a2:6e79:9d2e/38</t>
  </si>
  <si>
    <t>96e74a6e-1e8e-4a95-858c-26e49fecb7d4</t>
  </si>
  <si>
    <t>earthlink</t>
  </si>
  <si>
    <t>03-0476728</t>
  </si>
  <si>
    <t>Elmira</t>
  </si>
  <si>
    <t>928623205-5</t>
  </si>
  <si>
    <t>6f8d:f7d:d071:caad:b750:c843:abc4:b8bb/80</t>
  </si>
  <si>
    <t>eb179efa-eab5-4825-9667-92f9403c4d5e</t>
  </si>
  <si>
    <t>de</t>
  </si>
  <si>
    <t>1und1</t>
  </si>
  <si>
    <t>87-2339585</t>
  </si>
  <si>
    <t>047820297-0</t>
  </si>
  <si>
    <t>f7e0:4046:b7ef:bf6a:a068:d237:d021:3a57/51</t>
  </si>
  <si>
    <t>614656a1-e11f-4dc4-8439-402e55b34474</t>
  </si>
  <si>
    <t>66-8340546</t>
  </si>
  <si>
    <t>Paxton</t>
  </si>
  <si>
    <t>703750668-0</t>
  </si>
  <si>
    <t>2b98:d654:3cf8:5637:80e8:5121:5937:c6c6/110</t>
  </si>
  <si>
    <t>6cc74fcf-ee42-42a4-bb95-1beb3060273e</t>
  </si>
  <si>
    <t>reuters</t>
  </si>
  <si>
    <t>78-4115173</t>
  </si>
  <si>
    <t>Brian</t>
  </si>
  <si>
    <t>472190937-3</t>
  </si>
  <si>
    <t>a282:b084:b03:1fba:71b8:9225:41c7:13f7/110</t>
  </si>
  <si>
    <t>66157265-404c-4871-9d5e-7c76cebc6ada</t>
  </si>
  <si>
    <t>06-6850329</t>
  </si>
  <si>
    <t>Kacey</t>
  </si>
  <si>
    <t>888776403-4</t>
  </si>
  <si>
    <t>c6e5:bd6b:cf5c:2e1e:ec79:bfb4:4fd:5e66/114</t>
  </si>
  <si>
    <t>8500e911-0b58-412a-8887-816e9c070f21</t>
  </si>
  <si>
    <t>ft</t>
  </si>
  <si>
    <t>70-6672163</t>
  </si>
  <si>
    <t>Yancey</t>
  </si>
  <si>
    <t>171737212-0</t>
  </si>
  <si>
    <t>a0c:1c6a:a583:e06a:e58f:5ef7:17bb:b37f/20</t>
  </si>
  <si>
    <t>ec56d5ff-8dec-42d7-965a-6f250e5004a1</t>
  </si>
  <si>
    <t>geocities</t>
  </si>
  <si>
    <t>61-2606211</t>
  </si>
  <si>
    <t>Thaddus</t>
  </si>
  <si>
    <t>895747449-8</t>
  </si>
  <si>
    <t>e00d:a10d:226b:6cac:45a2:4060:5ed5:85d6/115</t>
  </si>
  <si>
    <t>2d8d51ab-7216-4587-a5b3-fcd83fddc771</t>
  </si>
  <si>
    <t>wikipedia</t>
  </si>
  <si>
    <t>Keylex</t>
  </si>
  <si>
    <t>95-1934048</t>
  </si>
  <si>
    <t>Dougy</t>
  </si>
  <si>
    <t>196018917-4</t>
  </si>
  <si>
    <t>454d:c443:b492:ddef:1d1f:1b15:61ff:c8d9/86</t>
  </si>
  <si>
    <t>5e9d9289-4b44-4d3a-8bd3-61d9a1429a4b</t>
  </si>
  <si>
    <t>microsoft</t>
  </si>
  <si>
    <t>36-4770557</t>
  </si>
  <si>
    <t>Else</t>
  </si>
  <si>
    <t>511220307-2</t>
  </si>
  <si>
    <t>c4b5:f3ec:712b:22c1:c256:eed2:aaa6:144b/108</t>
  </si>
  <si>
    <t>16a6a13e-c6f4-48d4-a975-ed7e94ead6cb</t>
  </si>
  <si>
    <t>istockphoto</t>
  </si>
  <si>
    <t>Zathin</t>
  </si>
  <si>
    <t>19-7507231</t>
  </si>
  <si>
    <t>Gerianna</t>
  </si>
  <si>
    <t>514248238-7</t>
  </si>
  <si>
    <t>b7fe:9bc8:14ee:9c5c:4342:6d48:f7dc:33ca/124</t>
  </si>
  <si>
    <t>aa40da4a-62ee-4321-a4c1-063d39df42e9</t>
  </si>
  <si>
    <t>eu</t>
  </si>
  <si>
    <t>europa</t>
  </si>
  <si>
    <t>27-6293844</t>
  </si>
  <si>
    <t>Corrie</t>
  </si>
  <si>
    <t>861835062-1</t>
  </si>
  <si>
    <t>d88e:6c04:b422:37ca:1e54:70f:5da3:b191/35</t>
  </si>
  <si>
    <t>8a87d09c-1799-409e-91b7-d7587994fb98</t>
  </si>
  <si>
    <t>devhub</t>
  </si>
  <si>
    <t>09-8147689</t>
  </si>
  <si>
    <t>Gary</t>
  </si>
  <si>
    <t>594227171-2</t>
  </si>
  <si>
    <t>dad:c99:ac96:9041:2809:f4e2:2ed1:8bb8/82</t>
  </si>
  <si>
    <t>2dfa9d79-ebfb-4a38-9c91-8f8dca4a97d5</t>
  </si>
  <si>
    <t>weebly</t>
  </si>
  <si>
    <t>20-8858978</t>
  </si>
  <si>
    <t>Ingelbert</t>
  </si>
  <si>
    <t>303619192-5</t>
  </si>
  <si>
    <t>89e0:90f0:64fa:280f:ba04:60d2:8bff:621e/49</t>
  </si>
  <si>
    <t>c38d9a30-9566-41c4-83a4-fac675646f5a</t>
  </si>
  <si>
    <t>deviantart</t>
  </si>
  <si>
    <t>Opela</t>
  </si>
  <si>
    <t>83-6159850</t>
  </si>
  <si>
    <t>Kelley</t>
  </si>
  <si>
    <t>043793425-X</t>
  </si>
  <si>
    <t>7c70:174d:af92:2556:f3c2:12fa:54a1:f644/16</t>
  </si>
  <si>
    <t>857dd291-1f26-4307-9c50-b75db6b1a93e</t>
  </si>
  <si>
    <t>merriam-webster</t>
  </si>
  <si>
    <t>68-9884656</t>
  </si>
  <si>
    <t>Lester</t>
  </si>
  <si>
    <t>363187557-6</t>
  </si>
  <si>
    <t>1f18:304c:9919:e20a:2a31:baa0:e486:7be1/91</t>
  </si>
  <si>
    <t>15b80f2b-a869-4119-af25-b0619110e6ee</t>
  </si>
  <si>
    <t>ch</t>
  </si>
  <si>
    <t>admin</t>
  </si>
  <si>
    <t>44-2260944</t>
  </si>
  <si>
    <t>Henderson</t>
  </si>
  <si>
    <t>699515109-7</t>
  </si>
  <si>
    <t>9f9e:4504:59d6:da59:b0:516a:4e1:3636/2</t>
  </si>
  <si>
    <t>14f34834-7755-48ab-b816-eb030455e875</t>
  </si>
  <si>
    <t>mail</t>
  </si>
  <si>
    <t>74-5305326</t>
  </si>
  <si>
    <t>Morley</t>
  </si>
  <si>
    <t>820472845-X</t>
  </si>
  <si>
    <t>edba:2d9c:e04e:b0dc:314d:9ece:4ff1:f481/85</t>
  </si>
  <si>
    <t>411a186b-0cd2-467b-bb6d-84d8ff16bc70</t>
  </si>
  <si>
    <t>blog</t>
  </si>
  <si>
    <t>95-0336703</t>
  </si>
  <si>
    <t>Hestia</t>
  </si>
  <si>
    <t>453796021-3</t>
  </si>
  <si>
    <t>d173:32e5:73bd:f68a:766:9ed3:c9fb:7bf2/41</t>
  </si>
  <si>
    <t>3a3613a5-16c5-4fd2-82e9-b16e76da36e5</t>
  </si>
  <si>
    <t>zdnet</t>
  </si>
  <si>
    <t>18-7807350</t>
  </si>
  <si>
    <t>Malissa</t>
  </si>
  <si>
    <t>635930538-0</t>
  </si>
  <si>
    <t>c904:f969:3a29:28c:ca3:dfda:9604:62a8/2</t>
  </si>
  <si>
    <t>262ef73c-1e9d-4966-b93e-a22c50ce5d50</t>
  </si>
  <si>
    <t>surveymonkey</t>
  </si>
  <si>
    <t>Fix San</t>
  </si>
  <si>
    <t>05-0433464</t>
  </si>
  <si>
    <t>Terence</t>
  </si>
  <si>
    <t>491543192-4</t>
  </si>
  <si>
    <t>7b60:7277:4dfd:11d9:a70d:406c:8f5c:d7e0/60</t>
  </si>
  <si>
    <t>112acbff-ffb7-4715-ba8b-1812ff0cc558</t>
  </si>
  <si>
    <t>Y-find</t>
  </si>
  <si>
    <t>71-6504809</t>
  </si>
  <si>
    <t>Kerwinn</t>
  </si>
  <si>
    <t>589797071-8</t>
  </si>
  <si>
    <t>dfce:f608:d938:e9d5:d22b:f7bd:3473:a1a1/102</t>
  </si>
  <si>
    <t>832e26bb-9d48-4f48-a558-c9540c95c748</t>
  </si>
  <si>
    <t>smugmug</t>
  </si>
  <si>
    <t>13-2473496</t>
  </si>
  <si>
    <t>Lazarus</t>
  </si>
  <si>
    <t>749815524-9</t>
  </si>
  <si>
    <t>a068:6bfe:edd8:34c:9fc2:3b05:eb8a:7e3d/109</t>
  </si>
  <si>
    <t>ea8c6959-b444-4522-b556-cb825ba291da</t>
  </si>
  <si>
    <t>nps</t>
  </si>
  <si>
    <t>67-0170862</t>
  </si>
  <si>
    <t>Traver</t>
  </si>
  <si>
    <t>409639590-0</t>
  </si>
  <si>
    <t>8f6f:8a36:a005:7e3d:35dc:bc0f:ab4a:3bb7/127</t>
  </si>
  <si>
    <t>4dd60009-0867-47b2-b69a-3526da907b1f</t>
  </si>
  <si>
    <t>65-4874613</t>
  </si>
  <si>
    <t>Nikkie</t>
  </si>
  <si>
    <t>078753024-7</t>
  </si>
  <si>
    <t>7e99:e4d4:3002:250:d6af:a6ec:e1fc:58b0/42</t>
  </si>
  <si>
    <t>b8fbb911-f7d5-4cc2-95e6-d8b348cbb8b9</t>
  </si>
  <si>
    <t>it</t>
  </si>
  <si>
    <t>tuttocitta</t>
  </si>
  <si>
    <t>90-9925051</t>
  </si>
  <si>
    <t>Lida</t>
  </si>
  <si>
    <t>967987794-9</t>
  </si>
  <si>
    <t>e333:7edb:4220:2ee9:8d5a:276d:260f:3629/109</t>
  </si>
  <si>
    <t>f6b5d20d-b32e-4801-b3cf-e8da62479cee</t>
  </si>
  <si>
    <t>bizjournals</t>
  </si>
  <si>
    <t>04-6074355</t>
  </si>
  <si>
    <t>Corri</t>
  </si>
  <si>
    <t>999116656-4</t>
  </si>
  <si>
    <t>31ce:7e3f:3eea:945c:9194:1bef:1a2a:78a6/117</t>
  </si>
  <si>
    <t>89245ec1-6cd3-49b5-9c9d-ffbca5acb575</t>
  </si>
  <si>
    <t>ne</t>
  </si>
  <si>
    <t>dion</t>
  </si>
  <si>
    <t>Sonair</t>
  </si>
  <si>
    <t>36-6857573</t>
  </si>
  <si>
    <t>Carmine</t>
  </si>
  <si>
    <t>170285657-7</t>
  </si>
  <si>
    <t>39f1:7a5b:de91:77a2:b4b3:32ee:6111:f6e8/34</t>
  </si>
  <si>
    <t>cbcc0716-5aee-47a9-98f1-475bb465b5ce</t>
  </si>
  <si>
    <t>illinois</t>
  </si>
  <si>
    <t>96-6843973</t>
  </si>
  <si>
    <t>Arleta</t>
  </si>
  <si>
    <t>605837869-9</t>
  </si>
  <si>
    <t>6225:3a25:6007:142a:e38:a64e:3c8c:9262/71</t>
  </si>
  <si>
    <t>b802479f-0a45-4b81-baf7-f138c43c61c2</t>
  </si>
  <si>
    <t>uk</t>
  </si>
  <si>
    <t>co</t>
  </si>
  <si>
    <t>guardian</t>
  </si>
  <si>
    <t>04-0567263</t>
  </si>
  <si>
    <t>Zacherie</t>
  </si>
  <si>
    <t>405254090-5</t>
  </si>
  <si>
    <t>d059:2c3:665c:2d88:7032:7d2:c56f:3cbc/76</t>
  </si>
  <si>
    <t>c2037065-5b8f-4792-a885-a8edd9313af9</t>
  </si>
  <si>
    <t>gmpg</t>
  </si>
  <si>
    <t>Lotstring</t>
  </si>
  <si>
    <t>37-8438483</t>
  </si>
  <si>
    <t>Shellysheldon</t>
  </si>
  <si>
    <t>475339770-X</t>
  </si>
  <si>
    <t>969a:aaa2:40b4:ab42:b05d:8399:9c4c:68ac/26</t>
  </si>
  <si>
    <t>0ca63488-b5ae-4d63-8a0d-3d18646ea0db</t>
  </si>
  <si>
    <t>sitemeter</t>
  </si>
  <si>
    <t>70-4563904</t>
  </si>
  <si>
    <t>Ray</t>
  </si>
  <si>
    <t>884358849-4</t>
  </si>
  <si>
    <t>6112:108a:6d36:46b6:de49:9f25:f5da:3cc5/14</t>
  </si>
  <si>
    <t>8531ac21-3dcf-4be5-ac78-f2c8d6393d89</t>
  </si>
  <si>
    <t>Home Ing</t>
  </si>
  <si>
    <t>99-5622479</t>
  </si>
  <si>
    <t>Normy</t>
  </si>
  <si>
    <t>119608285-5</t>
  </si>
  <si>
    <t>6fa:a50:d988:c00:438d:8cc7:d94f:ab71/102</t>
  </si>
  <si>
    <t>9e142d02-c750-4064-b205-bfa811330cf5</t>
  </si>
  <si>
    <t>mac</t>
  </si>
  <si>
    <t>46-4952981</t>
  </si>
  <si>
    <t>Nanine</t>
  </si>
  <si>
    <t>218490887-8</t>
  </si>
  <si>
    <t>eb4d:d36d:5b10:b3c0:eb9a:bee1:dd42:934f/60</t>
  </si>
  <si>
    <t>4f603d3a-4766-4337-b903-4ac46cc28bcb</t>
  </si>
  <si>
    <t>or</t>
  </si>
  <si>
    <t>plala</t>
  </si>
  <si>
    <t>Sonsing</t>
  </si>
  <si>
    <t>40-5645323</t>
  </si>
  <si>
    <t>Kylila</t>
  </si>
  <si>
    <t>821260028-9</t>
  </si>
  <si>
    <t>1fa4:5c3c:1cbb:527:6ad7:15aa:4c34:87a4/87</t>
  </si>
  <si>
    <t>a4b0bfba-db51-4eb2-93dc-e867220c0806</t>
  </si>
  <si>
    <t>webmd</t>
  </si>
  <si>
    <t>90-1327293</t>
  </si>
  <si>
    <t>Garey</t>
  </si>
  <si>
    <t>322519250-3</t>
  </si>
  <si>
    <t>a079:8dc9:e3a9:b2a6:ce51:6bef:441d:33d1/44</t>
  </si>
  <si>
    <t>29834544-6e95-4b84-821b-047adb0a8aa2</t>
  </si>
  <si>
    <t>Transcof</t>
  </si>
  <si>
    <t>35-5277126</t>
  </si>
  <si>
    <t>Mack</t>
  </si>
  <si>
    <t>973726299-9</t>
  </si>
  <si>
    <t>b31f:5b4:4174:be5a:de7c:14d3:d3be:bb50/96</t>
  </si>
  <si>
    <t>770cb2dc-4642-4a60-9d30-10e4dc07e5c0</t>
  </si>
  <si>
    <t>howstuffworks</t>
  </si>
  <si>
    <t>09-5498678</t>
  </si>
  <si>
    <t>Marsha</t>
  </si>
  <si>
    <t>761984999-8</t>
  </si>
  <si>
    <t>2f80:2c37:54d8:4518:7de0:f9cb:ebe1:6200/22</t>
  </si>
  <si>
    <t>bf9c5d8c-86c8-4cdc-b07e-57fef83873d1</t>
  </si>
  <si>
    <t>dropbox</t>
  </si>
  <si>
    <t>Y-Solowarm</t>
  </si>
  <si>
    <t>42-7806840</t>
  </si>
  <si>
    <t>Richard</t>
  </si>
  <si>
    <t>765559207-1</t>
  </si>
  <si>
    <t>7778:21d2:7088:9e58:2e59:8219:23c8:4230/53</t>
  </si>
  <si>
    <t>a355c44c-6168-47d5-81d8-7210ee1ec7e4</t>
  </si>
  <si>
    <t>96-5086742</t>
  </si>
  <si>
    <t>Ruthi</t>
  </si>
  <si>
    <t>698495162-3</t>
  </si>
  <si>
    <t>d9f:3c10:e01c:7b34:7f55:39b7:db0c:8ba7/14</t>
  </si>
  <si>
    <t>6e8d2e16-cad8-413e-901c-e194651f839b</t>
  </si>
  <si>
    <t>dailymail</t>
  </si>
  <si>
    <t>Latlux</t>
  </si>
  <si>
    <t>19-7058067</t>
  </si>
  <si>
    <t>Renault</t>
  </si>
  <si>
    <t>524279800-9</t>
  </si>
  <si>
    <t>ae0b:ed8d:9816:487a:d417:7cc7:eb89:ca6d/61</t>
  </si>
  <si>
    <t>43ba2db3-2c2a-4788-8eea-cfd9d92d70bd</t>
  </si>
  <si>
    <t>woothemes</t>
  </si>
  <si>
    <t>91-4874921</t>
  </si>
  <si>
    <t>Deny</t>
  </si>
  <si>
    <t>400585576-8</t>
  </si>
  <si>
    <t>3391:71fc:e47b:250b:edaf:bd27:7c44:7422/27</t>
  </si>
  <si>
    <t>3fce3df4-1af5-4212-b1a1-ffdfdac4ffe1</t>
  </si>
  <si>
    <t>amazon</t>
  </si>
  <si>
    <t>Andalax</t>
  </si>
  <si>
    <t>30-4452555</t>
  </si>
  <si>
    <t>Benetta</t>
  </si>
  <si>
    <t>947414073-1</t>
  </si>
  <si>
    <t>7561:2873:7b79:819b:3801:6bae:2497:b45f/75</t>
  </si>
  <si>
    <t>a066a215-c81a-4150-a056-4a9b00411f46</t>
  </si>
  <si>
    <t>ovh</t>
  </si>
  <si>
    <t>69-4019502</t>
  </si>
  <si>
    <t>Marian</t>
  </si>
  <si>
    <t>865412796-1</t>
  </si>
  <si>
    <t>1c02:64fc:a4b5:d768:b352:6b2b:be86:d304/65</t>
  </si>
  <si>
    <t>5cf8840e-6c0a-4801-9a78-bfa80c499011</t>
  </si>
  <si>
    <t>99-1922518</t>
  </si>
  <si>
    <t>Florina</t>
  </si>
  <si>
    <t>507982645-2</t>
  </si>
  <si>
    <t>7d9f:b72c:cb8c:76e0:e9dc:5b2a:61d9:9cf4/6</t>
  </si>
  <si>
    <t>9e52eca4-3bdd-4b81-a10b-c2419956ab56</t>
  </si>
  <si>
    <t>baidu</t>
  </si>
  <si>
    <t>29-3539624</t>
  </si>
  <si>
    <t>Daven</t>
  </si>
  <si>
    <t>524166730-X</t>
  </si>
  <si>
    <t>b575:dade:5b1c:fba4:8d11:7de5:fce4:4659/9</t>
  </si>
  <si>
    <t>0f5f9295-b69a-4391-9c22-67610b9bbb81</t>
  </si>
  <si>
    <t>tumblr</t>
  </si>
  <si>
    <t>31-0416512</t>
  </si>
  <si>
    <t>Elicia</t>
  </si>
  <si>
    <t>939585429-4</t>
  </si>
  <si>
    <t>4585:7ae5:1bf:2686:9139:5d42:533b:2d9e/85</t>
  </si>
  <si>
    <t>1cef0f89-3ca0-4752-85</t>
  </si>
  <si>
    <t>79c2</t>
  </si>
  <si>
    <t>d26a</t>
  </si>
  <si>
    <t>634a</t>
  </si>
  <si>
    <t>741b</t>
  </si>
  <si>
    <t>3b30</t>
  </si>
  <si>
    <t>ce46</t>
  </si>
  <si>
    <t>4503/119</t>
  </si>
  <si>
    <t>16a0</t>
  </si>
  <si>
    <t>c3d7</t>
  </si>
  <si>
    <t>56ff</t>
  </si>
  <si>
    <t>45d</t>
  </si>
  <si>
    <t>ad94</t>
  </si>
  <si>
    <t>955c</t>
  </si>
  <si>
    <t>9eec</t>
  </si>
  <si>
    <t>cbf1/125</t>
  </si>
  <si>
    <t>ba41</t>
  </si>
  <si>
    <t>c704</t>
  </si>
  <si>
    <t>d50</t>
  </si>
  <si>
    <t>714a</t>
  </si>
  <si>
    <t>5b84</t>
  </si>
  <si>
    <t>7849/125</t>
  </si>
  <si>
    <t>d5ef</t>
  </si>
  <si>
    <t>2f00</t>
  </si>
  <si>
    <t>f942</t>
  </si>
  <si>
    <t>d388</t>
  </si>
  <si>
    <t>d61d</t>
  </si>
  <si>
    <t>43df</t>
  </si>
  <si>
    <t>51b1</t>
  </si>
  <si>
    <t>179a/44</t>
  </si>
  <si>
    <t>f084</t>
  </si>
  <si>
    <t>64f5</t>
  </si>
  <si>
    <t>987d</t>
  </si>
  <si>
    <t>13b0</t>
  </si>
  <si>
    <t>c6f7</t>
  </si>
  <si>
    <t>b620</t>
  </si>
  <si>
    <t>7c54</t>
  </si>
  <si>
    <t>5724/21</t>
  </si>
  <si>
    <t>eefe</t>
  </si>
  <si>
    <t>c1f5</t>
  </si>
  <si>
    <t>80c2</t>
  </si>
  <si>
    <t>21ae</t>
  </si>
  <si>
    <t>43de</t>
  </si>
  <si>
    <t>f4e2/105</t>
  </si>
  <si>
    <t>8a96</t>
  </si>
  <si>
    <t>471c</t>
  </si>
  <si>
    <t>970f</t>
  </si>
  <si>
    <t>f090</t>
  </si>
  <si>
    <t>fc93/2</t>
  </si>
  <si>
    <t>dc8b</t>
  </si>
  <si>
    <t>553b</t>
  </si>
  <si>
    <t>e682</t>
  </si>
  <si>
    <t>cc56</t>
  </si>
  <si>
    <t>174a/122</t>
  </si>
  <si>
    <t>84d1</t>
  </si>
  <si>
    <t>a3d1</t>
  </si>
  <si>
    <t>863b</t>
  </si>
  <si>
    <t>f947</t>
  </si>
  <si>
    <t>53cc</t>
  </si>
  <si>
    <t>14e9/89</t>
  </si>
  <si>
    <t>9a69</t>
  </si>
  <si>
    <t>7d5f</t>
  </si>
  <si>
    <t>8d76</t>
  </si>
  <si>
    <t>24d9</t>
  </si>
  <si>
    <t>94a9</t>
  </si>
  <si>
    <t>5f51</t>
  </si>
  <si>
    <t>ec6b/51</t>
  </si>
  <si>
    <t>53ee</t>
  </si>
  <si>
    <t>e704</t>
  </si>
  <si>
    <t>28ca</t>
  </si>
  <si>
    <t>e150</t>
  </si>
  <si>
    <t>9cb6</t>
  </si>
  <si>
    <t>5be9</t>
  </si>
  <si>
    <t>c017/59</t>
  </si>
  <si>
    <t>f86d</t>
  </si>
  <si>
    <t>204e</t>
  </si>
  <si>
    <t>f5e3</t>
  </si>
  <si>
    <t>a8ff</t>
  </si>
  <si>
    <t>f877</t>
  </si>
  <si>
    <t>2d3/124</t>
  </si>
  <si>
    <t>3e1f</t>
  </si>
  <si>
    <t>484a</t>
  </si>
  <si>
    <t>be95</t>
  </si>
  <si>
    <t>a306</t>
  </si>
  <si>
    <t>4cf8</t>
  </si>
  <si>
    <t>f47/22</t>
  </si>
  <si>
    <t>66fe</t>
  </si>
  <si>
    <t>7dd6</t>
  </si>
  <si>
    <t>3dc4</t>
  </si>
  <si>
    <t>bfc4</t>
  </si>
  <si>
    <t>dda9</t>
  </si>
  <si>
    <t>dd4</t>
  </si>
  <si>
    <t>ca5/93</t>
  </si>
  <si>
    <t>bc01</t>
  </si>
  <si>
    <t>a4af</t>
  </si>
  <si>
    <t>708b</t>
  </si>
  <si>
    <t>f4db</t>
  </si>
  <si>
    <t>fb89</t>
  </si>
  <si>
    <t>c0f8</t>
  </si>
  <si>
    <t>4453/67</t>
  </si>
  <si>
    <t>812f</t>
  </si>
  <si>
    <t>c8d8</t>
  </si>
  <si>
    <t>d08e</t>
  </si>
  <si>
    <t>c457</t>
  </si>
  <si>
    <t>ccd</t>
  </si>
  <si>
    <t>2b55</t>
  </si>
  <si>
    <t>2f93</t>
  </si>
  <si>
    <t>5097/107</t>
  </si>
  <si>
    <t>e5a4</t>
  </si>
  <si>
    <t>bb85</t>
  </si>
  <si>
    <t>e992</t>
  </si>
  <si>
    <t>dfb5</t>
  </si>
  <si>
    <t>d05</t>
  </si>
  <si>
    <t>e8c2</t>
  </si>
  <si>
    <t>ab47/112</t>
  </si>
  <si>
    <t>7cbd</t>
  </si>
  <si>
    <t>fd05</t>
  </si>
  <si>
    <t>fed1</t>
  </si>
  <si>
    <t>a04a</t>
  </si>
  <si>
    <t>6d89</t>
  </si>
  <si>
    <t>5b6e</t>
  </si>
  <si>
    <t>3c8/8</t>
  </si>
  <si>
    <t>c6a9</t>
  </si>
  <si>
    <t>46fc</t>
  </si>
  <si>
    <t>8b3</t>
  </si>
  <si>
    <t>a1b2</t>
  </si>
  <si>
    <t>b422</t>
  </si>
  <si>
    <t>3dd9</t>
  </si>
  <si>
    <t>b5f1/103</t>
  </si>
  <si>
    <t>a69b</t>
  </si>
  <si>
    <t>6dac</t>
  </si>
  <si>
    <t>8c8c</t>
  </si>
  <si>
    <t>522c</t>
  </si>
  <si>
    <t>6ef6</t>
  </si>
  <si>
    <t>98e</t>
  </si>
  <si>
    <t>65f9</t>
  </si>
  <si>
    <t>c442/98</t>
  </si>
  <si>
    <t>d00b</t>
  </si>
  <si>
    <t>752e</t>
  </si>
  <si>
    <t>d440</t>
  </si>
  <si>
    <t>e930</t>
  </si>
  <si>
    <t>f3eb</t>
  </si>
  <si>
    <t>aedc/116</t>
  </si>
  <si>
    <t>e739</t>
  </si>
  <si>
    <t>f2e2</t>
  </si>
  <si>
    <t>b9c1</t>
  </si>
  <si>
    <t>9c0a</t>
  </si>
  <si>
    <t>df57/21</t>
  </si>
  <si>
    <t>da36</t>
  </si>
  <si>
    <t>1be</t>
  </si>
  <si>
    <t>c047</t>
  </si>
  <si>
    <t>9e6f</t>
  </si>
  <si>
    <t>58a0</t>
  </si>
  <si>
    <t>fed3</t>
  </si>
  <si>
    <t>333d/39</t>
  </si>
  <si>
    <t>efb9</t>
  </si>
  <si>
    <t>b271</t>
  </si>
  <si>
    <t>712e</t>
  </si>
  <si>
    <t>51f4</t>
  </si>
  <si>
    <t>b96</t>
  </si>
  <si>
    <t>e03c</t>
  </si>
  <si>
    <t>60d0</t>
  </si>
  <si>
    <t>80a9/1</t>
  </si>
  <si>
    <t>d9c0</t>
  </si>
  <si>
    <t>cddd</t>
  </si>
  <si>
    <t>bb3b</t>
  </si>
  <si>
    <t>351f</t>
  </si>
  <si>
    <t>73a5</t>
  </si>
  <si>
    <t>a0ca/14</t>
  </si>
  <si>
    <t>8c10</t>
  </si>
  <si>
    <t>f576</t>
  </si>
  <si>
    <t>354f</t>
  </si>
  <si>
    <t>13b4</t>
  </si>
  <si>
    <t>2c3f</t>
  </si>
  <si>
    <t>90d5</t>
  </si>
  <si>
    <t>f923/22</t>
  </si>
  <si>
    <t>6f3a</t>
  </si>
  <si>
    <t>e14</t>
  </si>
  <si>
    <t>df58</t>
  </si>
  <si>
    <t>ab27</t>
  </si>
  <si>
    <t>1fa3</t>
  </si>
  <si>
    <t>457/70</t>
  </si>
  <si>
    <t>2d04</t>
  </si>
  <si>
    <t>604a</t>
  </si>
  <si>
    <t>540e</t>
  </si>
  <si>
    <t>6e1f</t>
  </si>
  <si>
    <t>d6d1</t>
  </si>
  <si>
    <t>c11e</t>
  </si>
  <si>
    <t>7d0a/12</t>
  </si>
  <si>
    <t>d580</t>
  </si>
  <si>
    <t>5b4</t>
  </si>
  <si>
    <t>2aea</t>
  </si>
  <si>
    <t>c854</t>
  </si>
  <si>
    <t>2cb5</t>
  </si>
  <si>
    <t>1f7b</t>
  </si>
  <si>
    <t>9715/89</t>
  </si>
  <si>
    <t>f18b</t>
  </si>
  <si>
    <t>910c</t>
  </si>
  <si>
    <t>c946</t>
  </si>
  <si>
    <t>55a3</t>
  </si>
  <si>
    <t>9d0b</t>
  </si>
  <si>
    <t>af1a</t>
  </si>
  <si>
    <t>f925</t>
  </si>
  <si>
    <t>2489/115</t>
  </si>
  <si>
    <t>2a3f</t>
  </si>
  <si>
    <t>5f73</t>
  </si>
  <si>
    <t>729b</t>
  </si>
  <si>
    <t>327f</t>
  </si>
  <si>
    <t>f707</t>
  </si>
  <si>
    <t>14b8</t>
  </si>
  <si>
    <t>a5ae/95</t>
  </si>
  <si>
    <t>81c7</t>
  </si>
  <si>
    <t>1a3b</t>
  </si>
  <si>
    <t>cd15</t>
  </si>
  <si>
    <t>4b42</t>
  </si>
  <si>
    <t>f77e</t>
  </si>
  <si>
    <t>e9fc</t>
  </si>
  <si>
    <t>f080/66</t>
  </si>
  <si>
    <t>eb8e</t>
  </si>
  <si>
    <t>bc3f</t>
  </si>
  <si>
    <t>2af5</t>
  </si>
  <si>
    <t>b6e8</t>
  </si>
  <si>
    <t>c74e</t>
  </si>
  <si>
    <t>8c16</t>
  </si>
  <si>
    <t>935c</t>
  </si>
  <si>
    <t>509a/121</t>
  </si>
  <si>
    <t>ec39</t>
  </si>
  <si>
    <t>9e7a</t>
  </si>
  <si>
    <t>f8eb</t>
  </si>
  <si>
    <t>68a0</t>
  </si>
  <si>
    <t>b372</t>
  </si>
  <si>
    <t>17d5</t>
  </si>
  <si>
    <t>3800/86</t>
  </si>
  <si>
    <t>f2dc</t>
  </si>
  <si>
    <t>8b52</t>
  </si>
  <si>
    <t>a0b9</t>
  </si>
  <si>
    <t>ca01</t>
  </si>
  <si>
    <t>a2b6</t>
  </si>
  <si>
    <t>c6e6</t>
  </si>
  <si>
    <t>dd57/71</t>
  </si>
  <si>
    <t>e5e6</t>
  </si>
  <si>
    <t>d95</t>
  </si>
  <si>
    <t>7ac8</t>
  </si>
  <si>
    <t>b24</t>
  </si>
  <si>
    <t>93e</t>
  </si>
  <si>
    <t>a9c5</t>
  </si>
  <si>
    <t>f5dd/110</t>
  </si>
  <si>
    <t>13de</t>
  </si>
  <si>
    <t>f7dc</t>
  </si>
  <si>
    <t>ea71</t>
  </si>
  <si>
    <t>df1b/107</t>
  </si>
  <si>
    <t>eb41</t>
  </si>
  <si>
    <t>a6a8</t>
  </si>
  <si>
    <t>d5ad</t>
  </si>
  <si>
    <t>d592</t>
  </si>
  <si>
    <t>c780</t>
  </si>
  <si>
    <t>77bc</t>
  </si>
  <si>
    <t>fa1/44</t>
  </si>
  <si>
    <t>62b1</t>
  </si>
  <si>
    <t>55fb</t>
  </si>
  <si>
    <t>36d</t>
  </si>
  <si>
    <t>e337</t>
  </si>
  <si>
    <t>a529</t>
  </si>
  <si>
    <t>a4b4/20</t>
  </si>
  <si>
    <t>da35</t>
  </si>
  <si>
    <t>4f85</t>
  </si>
  <si>
    <t>67d2</t>
  </si>
  <si>
    <t>e4f9</t>
  </si>
  <si>
    <t>f7c0</t>
  </si>
  <si>
    <t>4abf/99</t>
  </si>
  <si>
    <t>923b</t>
  </si>
  <si>
    <t>bdb7</t>
  </si>
  <si>
    <t>b6bf</t>
  </si>
  <si>
    <t>1b8e</t>
  </si>
  <si>
    <t>3f5c/16</t>
  </si>
  <si>
    <t>275c</t>
  </si>
  <si>
    <t>82f9</t>
  </si>
  <si>
    <t>a0dc</t>
  </si>
  <si>
    <t>4ca8</t>
  </si>
  <si>
    <t>bc68</t>
  </si>
  <si>
    <t>67da</t>
  </si>
  <si>
    <t>27ee</t>
  </si>
  <si>
    <t>8e5/8</t>
  </si>
  <si>
    <t>503c</t>
  </si>
  <si>
    <t>19b</t>
  </si>
  <si>
    <t>a245</t>
  </si>
  <si>
    <t>786e</t>
  </si>
  <si>
    <t>efbb</t>
  </si>
  <si>
    <t>6908/82</t>
  </si>
  <si>
    <t>1ebe</t>
  </si>
  <si>
    <t>df51</t>
  </si>
  <si>
    <t>9d4a</t>
  </si>
  <si>
    <t>393e</t>
  </si>
  <si>
    <t>a9bf</t>
  </si>
  <si>
    <t>8cd2</t>
  </si>
  <si>
    <t>2ee2/51</t>
  </si>
  <si>
    <t>cfd9</t>
  </si>
  <si>
    <t>f4b1</t>
  </si>
  <si>
    <t>e42c</t>
  </si>
  <si>
    <t>368f</t>
  </si>
  <si>
    <t>ba5</t>
  </si>
  <si>
    <t>dc74/108</t>
  </si>
  <si>
    <t>bd10</t>
  </si>
  <si>
    <t>e81b</t>
  </si>
  <si>
    <t>9dc1</t>
  </si>
  <si>
    <t>15f6</t>
  </si>
  <si>
    <t>ca59</t>
  </si>
  <si>
    <t>4f4c</t>
  </si>
  <si>
    <t>5e32/29</t>
  </si>
  <si>
    <t>2a71</t>
  </si>
  <si>
    <t>e77f</t>
  </si>
  <si>
    <t>c388</t>
  </si>
  <si>
    <t>cf77/31</t>
  </si>
  <si>
    <t>132e</t>
  </si>
  <si>
    <t>fb75</t>
  </si>
  <si>
    <t>8fdf</t>
  </si>
  <si>
    <t>95c6</t>
  </si>
  <si>
    <t>ca83/102</t>
  </si>
  <si>
    <t>c17e</t>
  </si>
  <si>
    <t>ee80</t>
  </si>
  <si>
    <t>672e</t>
  </si>
  <si>
    <t>e52c</t>
  </si>
  <si>
    <t>e8c</t>
  </si>
  <si>
    <t>2c4d/99</t>
  </si>
  <si>
    <t>3f88</t>
  </si>
  <si>
    <t>8da2</t>
  </si>
  <si>
    <t>2f4e</t>
  </si>
  <si>
    <t>aee4</t>
  </si>
  <si>
    <t>956f</t>
  </si>
  <si>
    <t>8d39</t>
  </si>
  <si>
    <t>8310/41</t>
  </si>
  <si>
    <t>ebb4</t>
  </si>
  <si>
    <t>e9fa</t>
  </si>
  <si>
    <t>234d</t>
  </si>
  <si>
    <t>52d4</t>
  </si>
  <si>
    <t>60eb</t>
  </si>
  <si>
    <t>e657</t>
  </si>
  <si>
    <t>47fa/95</t>
  </si>
  <si>
    <t>cc8a</t>
  </si>
  <si>
    <t>a532</t>
  </si>
  <si>
    <t>cb0e</t>
  </si>
  <si>
    <t>c821</t>
  </si>
  <si>
    <t>1b6f</t>
  </si>
  <si>
    <t>8fba</t>
  </si>
  <si>
    <t>a8e9</t>
  </si>
  <si>
    <t>367/116</t>
  </si>
  <si>
    <t>ba39</t>
  </si>
  <si>
    <t>3c93</t>
  </si>
  <si>
    <t>fb9</t>
  </si>
  <si>
    <t>fdc5</t>
  </si>
  <si>
    <t>7aeb</t>
  </si>
  <si>
    <t>c3a8/15</t>
  </si>
  <si>
    <t>cc</t>
  </si>
  <si>
    <t>539c</t>
  </si>
  <si>
    <t>8bb4</t>
  </si>
  <si>
    <t>f5c5</t>
  </si>
  <si>
    <t>a698</t>
  </si>
  <si>
    <t>71a2</t>
  </si>
  <si>
    <t>9d2e/38</t>
  </si>
  <si>
    <t>6f8d</t>
  </si>
  <si>
    <t>f7d</t>
  </si>
  <si>
    <t>d071</t>
  </si>
  <si>
    <t>caad</t>
  </si>
  <si>
    <t>b750</t>
  </si>
  <si>
    <t>c843</t>
  </si>
  <si>
    <t>abc4</t>
  </si>
  <si>
    <t>b8bb/80</t>
  </si>
  <si>
    <t>f7e0</t>
  </si>
  <si>
    <t>b7ef</t>
  </si>
  <si>
    <t>bf6a</t>
  </si>
  <si>
    <t>a068</t>
  </si>
  <si>
    <t>d237</t>
  </si>
  <si>
    <t>d021</t>
  </si>
  <si>
    <t>3a57/51</t>
  </si>
  <si>
    <t>2b98</t>
  </si>
  <si>
    <t>d654</t>
  </si>
  <si>
    <t>3cf8</t>
  </si>
  <si>
    <t>c6c6/110</t>
  </si>
  <si>
    <t>a282</t>
  </si>
  <si>
    <t>b084</t>
  </si>
  <si>
    <t>b03</t>
  </si>
  <si>
    <t>1fba</t>
  </si>
  <si>
    <t>71b8</t>
  </si>
  <si>
    <t>41c7</t>
  </si>
  <si>
    <t>13f7/110</t>
  </si>
  <si>
    <t>c6e5</t>
  </si>
  <si>
    <t>bd6b</t>
  </si>
  <si>
    <t>cf5c</t>
  </si>
  <si>
    <t>2e1e</t>
  </si>
  <si>
    <t>ec79</t>
  </si>
  <si>
    <t>bfb4</t>
  </si>
  <si>
    <t>4fd</t>
  </si>
  <si>
    <t>5e66/114</t>
  </si>
  <si>
    <t>a0c</t>
  </si>
  <si>
    <t>1c6a</t>
  </si>
  <si>
    <t>a583</t>
  </si>
  <si>
    <t>e06a</t>
  </si>
  <si>
    <t>e58f</t>
  </si>
  <si>
    <t>5ef7</t>
  </si>
  <si>
    <t>17bb</t>
  </si>
  <si>
    <t>b37f/20</t>
  </si>
  <si>
    <t>e00d</t>
  </si>
  <si>
    <t>a10d</t>
  </si>
  <si>
    <t>226b</t>
  </si>
  <si>
    <t>6cac</t>
  </si>
  <si>
    <t>45a2</t>
  </si>
  <si>
    <t>5ed5</t>
  </si>
  <si>
    <t>85d6/115</t>
  </si>
  <si>
    <t>454d</t>
  </si>
  <si>
    <t>c443</t>
  </si>
  <si>
    <t>b492</t>
  </si>
  <si>
    <t>ddef</t>
  </si>
  <si>
    <t>1d1f</t>
  </si>
  <si>
    <t>1b15</t>
  </si>
  <si>
    <t>61ff</t>
  </si>
  <si>
    <t>c8d9/86</t>
  </si>
  <si>
    <t>c4b5</t>
  </si>
  <si>
    <t>f3ec</t>
  </si>
  <si>
    <t>712b</t>
  </si>
  <si>
    <t>22c1</t>
  </si>
  <si>
    <t>c256</t>
  </si>
  <si>
    <t>eed2</t>
  </si>
  <si>
    <t>aaa6</t>
  </si>
  <si>
    <t>144b/108</t>
  </si>
  <si>
    <t>b7fe</t>
  </si>
  <si>
    <t>9bc8</t>
  </si>
  <si>
    <t>14ee</t>
  </si>
  <si>
    <t>9c5c</t>
  </si>
  <si>
    <t>6d48</t>
  </si>
  <si>
    <t>33ca/124</t>
  </si>
  <si>
    <t>d88e</t>
  </si>
  <si>
    <t>6c04</t>
  </si>
  <si>
    <t>37ca</t>
  </si>
  <si>
    <t>70f</t>
  </si>
  <si>
    <t>5da3</t>
  </si>
  <si>
    <t>b191/35</t>
  </si>
  <si>
    <t>dad</t>
  </si>
  <si>
    <t>c99</t>
  </si>
  <si>
    <t>ac96</t>
  </si>
  <si>
    <t>f4e2</t>
  </si>
  <si>
    <t>2ed1</t>
  </si>
  <si>
    <t>8bb8/82</t>
  </si>
  <si>
    <t>90f0</t>
  </si>
  <si>
    <t>64fa</t>
  </si>
  <si>
    <t>280f</t>
  </si>
  <si>
    <t>ba04</t>
  </si>
  <si>
    <t>60d2</t>
  </si>
  <si>
    <t>8bff</t>
  </si>
  <si>
    <t>621e/49</t>
  </si>
  <si>
    <t>7c70</t>
  </si>
  <si>
    <t>174d</t>
  </si>
  <si>
    <t>af92</t>
  </si>
  <si>
    <t>f3c2</t>
  </si>
  <si>
    <t>12fa</t>
  </si>
  <si>
    <t>54a1</t>
  </si>
  <si>
    <t>f644/16</t>
  </si>
  <si>
    <t>1f18</t>
  </si>
  <si>
    <t>304c</t>
  </si>
  <si>
    <t>e20a</t>
  </si>
  <si>
    <t>2a31</t>
  </si>
  <si>
    <t>baa0</t>
  </si>
  <si>
    <t>e486</t>
  </si>
  <si>
    <t>7be1/91</t>
  </si>
  <si>
    <t>9f9e</t>
  </si>
  <si>
    <t>59d6</t>
  </si>
  <si>
    <t>da59</t>
  </si>
  <si>
    <t>b0</t>
  </si>
  <si>
    <t>516a</t>
  </si>
  <si>
    <t>3636/2</t>
  </si>
  <si>
    <t>edba</t>
  </si>
  <si>
    <t>2d9c</t>
  </si>
  <si>
    <t>e04e</t>
  </si>
  <si>
    <t>b0dc</t>
  </si>
  <si>
    <t>314d</t>
  </si>
  <si>
    <t>9ece</t>
  </si>
  <si>
    <t>4ff1</t>
  </si>
  <si>
    <t>f481/85</t>
  </si>
  <si>
    <t>d173</t>
  </si>
  <si>
    <t>73bd</t>
  </si>
  <si>
    <t>f68a</t>
  </si>
  <si>
    <t>9ed3</t>
  </si>
  <si>
    <t>c9fb</t>
  </si>
  <si>
    <t>7bf2/41</t>
  </si>
  <si>
    <t>c904</t>
  </si>
  <si>
    <t>f969</t>
  </si>
  <si>
    <t>3a29</t>
  </si>
  <si>
    <t>28c</t>
  </si>
  <si>
    <t>ca3</t>
  </si>
  <si>
    <t>dfda</t>
  </si>
  <si>
    <t>62a8/2</t>
  </si>
  <si>
    <t>7b60</t>
  </si>
  <si>
    <t>4dfd</t>
  </si>
  <si>
    <t>11d9</t>
  </si>
  <si>
    <t>a70d</t>
  </si>
  <si>
    <t>406c</t>
  </si>
  <si>
    <t>8f5c</t>
  </si>
  <si>
    <t>d7e0/60</t>
  </si>
  <si>
    <t>dfce</t>
  </si>
  <si>
    <t>f608</t>
  </si>
  <si>
    <t>d938</t>
  </si>
  <si>
    <t>e9d5</t>
  </si>
  <si>
    <t>d22b</t>
  </si>
  <si>
    <t>f7bd</t>
  </si>
  <si>
    <t>a1a1/102</t>
  </si>
  <si>
    <t>6bfe</t>
  </si>
  <si>
    <t>edd8</t>
  </si>
  <si>
    <t>34c</t>
  </si>
  <si>
    <t>9fc2</t>
  </si>
  <si>
    <t>3b05</t>
  </si>
  <si>
    <t>eb8a</t>
  </si>
  <si>
    <t>7e3d/109</t>
  </si>
  <si>
    <t>8f6f</t>
  </si>
  <si>
    <t>8a36</t>
  </si>
  <si>
    <t>a005</t>
  </si>
  <si>
    <t>7e3d</t>
  </si>
  <si>
    <t>35dc</t>
  </si>
  <si>
    <t>bc0f</t>
  </si>
  <si>
    <t>ab4a</t>
  </si>
  <si>
    <t>3bb7/127</t>
  </si>
  <si>
    <t>e4d4</t>
  </si>
  <si>
    <t>d6af</t>
  </si>
  <si>
    <t>a6ec</t>
  </si>
  <si>
    <t>e1fc</t>
  </si>
  <si>
    <t>58b0/42</t>
  </si>
  <si>
    <t>e333</t>
  </si>
  <si>
    <t>7edb</t>
  </si>
  <si>
    <t>2ee9</t>
  </si>
  <si>
    <t>8d5a</t>
  </si>
  <si>
    <t>276d</t>
  </si>
  <si>
    <t>260f</t>
  </si>
  <si>
    <t>3629/109</t>
  </si>
  <si>
    <t>31ce</t>
  </si>
  <si>
    <t>7e3f</t>
  </si>
  <si>
    <t>3eea</t>
  </si>
  <si>
    <t>945c</t>
  </si>
  <si>
    <t>1bef</t>
  </si>
  <si>
    <t>1a2a</t>
  </si>
  <si>
    <t>78a6/117</t>
  </si>
  <si>
    <t>39f1</t>
  </si>
  <si>
    <t>7a5b</t>
  </si>
  <si>
    <t>de91</t>
  </si>
  <si>
    <t>77a2</t>
  </si>
  <si>
    <t>b4b3</t>
  </si>
  <si>
    <t>32ee</t>
  </si>
  <si>
    <t>f6e8/34</t>
  </si>
  <si>
    <t>3a25</t>
  </si>
  <si>
    <t>142a</t>
  </si>
  <si>
    <t>e38</t>
  </si>
  <si>
    <t>a64e</t>
  </si>
  <si>
    <t>3c8c</t>
  </si>
  <si>
    <t>9262/71</t>
  </si>
  <si>
    <t>d059</t>
  </si>
  <si>
    <t>2c3</t>
  </si>
  <si>
    <t>665c</t>
  </si>
  <si>
    <t>2d88</t>
  </si>
  <si>
    <t>7d2</t>
  </si>
  <si>
    <t>c56f</t>
  </si>
  <si>
    <t>3cbc/76</t>
  </si>
  <si>
    <t>969a</t>
  </si>
  <si>
    <t>aaa2</t>
  </si>
  <si>
    <t>40b4</t>
  </si>
  <si>
    <t>ab42</t>
  </si>
  <si>
    <t>b05d</t>
  </si>
  <si>
    <t>9c4c</t>
  </si>
  <si>
    <t>68ac/26</t>
  </si>
  <si>
    <t>108a</t>
  </si>
  <si>
    <t>6d36</t>
  </si>
  <si>
    <t>46b6</t>
  </si>
  <si>
    <t>de49</t>
  </si>
  <si>
    <t>9f25</t>
  </si>
  <si>
    <t>f5da</t>
  </si>
  <si>
    <t>3cc5/14</t>
  </si>
  <si>
    <t>6fa</t>
  </si>
  <si>
    <t>a50</t>
  </si>
  <si>
    <t>d988</t>
  </si>
  <si>
    <t>c00</t>
  </si>
  <si>
    <t>438d</t>
  </si>
  <si>
    <t>8cc7</t>
  </si>
  <si>
    <t>d94f</t>
  </si>
  <si>
    <t>ab71/102</t>
  </si>
  <si>
    <t>eb4d</t>
  </si>
  <si>
    <t>d36d</t>
  </si>
  <si>
    <t>5b10</t>
  </si>
  <si>
    <t>b3c0</t>
  </si>
  <si>
    <t>eb9a</t>
  </si>
  <si>
    <t>bee1</t>
  </si>
  <si>
    <t>dd42</t>
  </si>
  <si>
    <t>934f/60</t>
  </si>
  <si>
    <t>1fa4</t>
  </si>
  <si>
    <t>5c3c</t>
  </si>
  <si>
    <t>1cbb</t>
  </si>
  <si>
    <t>6ad7</t>
  </si>
  <si>
    <t>15aa</t>
  </si>
  <si>
    <t>4c34</t>
  </si>
  <si>
    <t>87a4/87</t>
  </si>
  <si>
    <t>a079</t>
  </si>
  <si>
    <t>8dc9</t>
  </si>
  <si>
    <t>e3a9</t>
  </si>
  <si>
    <t>b2a6</t>
  </si>
  <si>
    <t>ce51</t>
  </si>
  <si>
    <t>6bef</t>
  </si>
  <si>
    <t>441d</t>
  </si>
  <si>
    <t>33d1/44</t>
  </si>
  <si>
    <t>b31f</t>
  </si>
  <si>
    <t>be5a</t>
  </si>
  <si>
    <t>de7c</t>
  </si>
  <si>
    <t>14d3</t>
  </si>
  <si>
    <t>d3be</t>
  </si>
  <si>
    <t>bb50/96</t>
  </si>
  <si>
    <t>2f80</t>
  </si>
  <si>
    <t>2c37</t>
  </si>
  <si>
    <t>54d8</t>
  </si>
  <si>
    <t>7de0</t>
  </si>
  <si>
    <t>f9cb</t>
  </si>
  <si>
    <t>ebe1</t>
  </si>
  <si>
    <t>6200/22</t>
  </si>
  <si>
    <t>21d2</t>
  </si>
  <si>
    <t>23c8</t>
  </si>
  <si>
    <t>4230/53</t>
  </si>
  <si>
    <t>d9f</t>
  </si>
  <si>
    <t>3c10</t>
  </si>
  <si>
    <t>e01c</t>
  </si>
  <si>
    <t>7b34</t>
  </si>
  <si>
    <t>7f55</t>
  </si>
  <si>
    <t>39b7</t>
  </si>
  <si>
    <t>db0c</t>
  </si>
  <si>
    <t>8ba7/14</t>
  </si>
  <si>
    <t>ae0b</t>
  </si>
  <si>
    <t>ed8d</t>
  </si>
  <si>
    <t>487a</t>
  </si>
  <si>
    <t>d417</t>
  </si>
  <si>
    <t>7cc7</t>
  </si>
  <si>
    <t>eb89</t>
  </si>
  <si>
    <t>ca6d/61</t>
  </si>
  <si>
    <t>71fc</t>
  </si>
  <si>
    <t>e47b</t>
  </si>
  <si>
    <t>250b</t>
  </si>
  <si>
    <t>edaf</t>
  </si>
  <si>
    <t>bd27</t>
  </si>
  <si>
    <t>7c44</t>
  </si>
  <si>
    <t>7422/27</t>
  </si>
  <si>
    <t>7b79</t>
  </si>
  <si>
    <t>819b</t>
  </si>
  <si>
    <t>6bae</t>
  </si>
  <si>
    <t>b45f/75</t>
  </si>
  <si>
    <t>1c02</t>
  </si>
  <si>
    <t>64fc</t>
  </si>
  <si>
    <t>a4b5</t>
  </si>
  <si>
    <t>d768</t>
  </si>
  <si>
    <t>b352</t>
  </si>
  <si>
    <t>6b2b</t>
  </si>
  <si>
    <t>be86</t>
  </si>
  <si>
    <t>d304/65</t>
  </si>
  <si>
    <t>7d9f</t>
  </si>
  <si>
    <t>b72c</t>
  </si>
  <si>
    <t>cb8c</t>
  </si>
  <si>
    <t>e9dc</t>
  </si>
  <si>
    <t>5b2a</t>
  </si>
  <si>
    <t>61d9</t>
  </si>
  <si>
    <t>9cf4/6</t>
  </si>
  <si>
    <t>b575</t>
  </si>
  <si>
    <t>dade</t>
  </si>
  <si>
    <t>5b1c</t>
  </si>
  <si>
    <t>fba4</t>
  </si>
  <si>
    <t>8d11</t>
  </si>
  <si>
    <t>7de5</t>
  </si>
  <si>
    <t>fce4</t>
  </si>
  <si>
    <t>4659/9</t>
  </si>
  <si>
    <t>7ae5</t>
  </si>
  <si>
    <t>1bf</t>
  </si>
  <si>
    <t>5d42</t>
  </si>
  <si>
    <t>533b</t>
  </si>
  <si>
    <t>2d9e/85</t>
  </si>
  <si>
    <t>4113-4</t>
  </si>
  <si>
    <t>4687-6</t>
  </si>
  <si>
    <t>4591-5</t>
  </si>
  <si>
    <t>3673-6</t>
  </si>
  <si>
    <t>0962-4</t>
  </si>
  <si>
    <t>814.54 GOL 1997</t>
  </si>
  <si>
    <t>002.09 AGA 2015</t>
  </si>
  <si>
    <t>794.12 NUN 2020</t>
  </si>
  <si>
    <t>694.1 BAS 2006</t>
  </si>
  <si>
    <t>722.1 BUR 2009</t>
  </si>
  <si>
    <t>392.12 HEI 2009</t>
  </si>
  <si>
    <t>309.1 DAY 2018</t>
  </si>
  <si>
    <t>233.1 HOW 2016</t>
  </si>
  <si>
    <t>742.122 MOD 2008</t>
  </si>
  <si>
    <t>do-3423</t>
  </si>
  <si>
    <t>ar-4526</t>
  </si>
  <si>
    <t>ar-9855</t>
  </si>
  <si>
    <t>ar-6658</t>
  </si>
  <si>
    <t>ob-905</t>
  </si>
  <si>
    <t>A.732</t>
  </si>
  <si>
    <t>E.732</t>
  </si>
  <si>
    <t>A.991</t>
  </si>
  <si>
    <t>E.359</t>
  </si>
  <si>
    <t>D.945</t>
  </si>
  <si>
    <t>B.124</t>
  </si>
  <si>
    <t>2012.1.3</t>
  </si>
  <si>
    <t>2013.4.1</t>
  </si>
  <si>
    <t>2003.9.2</t>
  </si>
  <si>
    <t>2003.8.2</t>
  </si>
  <si>
    <t>2017.2.9</t>
  </si>
  <si>
    <t>id2</t>
  </si>
  <si>
    <t>0CLC7ZZ</t>
  </si>
  <si>
    <t>09NC0ZZ</t>
  </si>
  <si>
    <t>03R34KZ</t>
  </si>
  <si>
    <t>03Q83ZZ</t>
  </si>
  <si>
    <t>CB129ZZ</t>
  </si>
  <si>
    <t>0VW843Z</t>
  </si>
  <si>
    <t>B31H110</t>
  </si>
  <si>
    <t>04UH37Z</t>
  </si>
  <si>
    <t>0FCD8ZZ</t>
  </si>
  <si>
    <t>0DRV4KZ</t>
  </si>
  <si>
    <t>02170JT</t>
  </si>
  <si>
    <t>0M9130Z</t>
  </si>
  <si>
    <t>0Y3N4ZZ</t>
  </si>
  <si>
    <t>04CC0ZZ</t>
  </si>
  <si>
    <t>0M513ZZ</t>
  </si>
  <si>
    <t>0RSM05Z</t>
  </si>
  <si>
    <t>0XQD0ZZ</t>
  </si>
  <si>
    <t>F07F1YZ</t>
  </si>
  <si>
    <t>02LH3ZZ</t>
  </si>
  <si>
    <t>0QW33KZ</t>
  </si>
  <si>
    <t>0WWH41Z</t>
  </si>
  <si>
    <t>00W642Z</t>
  </si>
  <si>
    <t>0U5K0ZZ</t>
  </si>
  <si>
    <t>027G04Z</t>
  </si>
  <si>
    <t>0SBF4ZZ</t>
  </si>
  <si>
    <t>F14Z2ZZ</t>
  </si>
  <si>
    <t>0M9M30Z</t>
  </si>
  <si>
    <t>0N5N0ZZ</t>
  </si>
  <si>
    <t>057P0ZZ</t>
  </si>
  <si>
    <t>0D158J6</t>
  </si>
  <si>
    <t>09TC4ZZ</t>
  </si>
  <si>
    <t>0QBG3ZZ</t>
  </si>
  <si>
    <t>099C0ZZ</t>
  </si>
  <si>
    <t>04UR07Z</t>
  </si>
  <si>
    <t>05UT4JZ</t>
  </si>
  <si>
    <t>07C33ZZ</t>
  </si>
  <si>
    <t>F0786UZ</t>
  </si>
  <si>
    <t>01B23ZX</t>
  </si>
  <si>
    <t>0PN30ZZ</t>
  </si>
  <si>
    <t>0TP93KZ</t>
  </si>
  <si>
    <t>0RWE04Z</t>
  </si>
  <si>
    <t>0H9U70Z</t>
  </si>
  <si>
    <t>3E030PZ</t>
  </si>
  <si>
    <t>0SU74KZ</t>
  </si>
  <si>
    <t>00U10KZ</t>
  </si>
  <si>
    <t>0BPK71Z</t>
  </si>
  <si>
    <t>0RPK08Z</t>
  </si>
  <si>
    <t>04C60ZZ</t>
  </si>
  <si>
    <t>3E0H80M</t>
  </si>
  <si>
    <t>07YM0Z0</t>
  </si>
  <si>
    <t>0KQD4ZZ</t>
  </si>
  <si>
    <t>04HM43Z</t>
  </si>
  <si>
    <t>0NRT0KZ</t>
  </si>
  <si>
    <t>0SRS039</t>
  </si>
  <si>
    <t>0DTE8ZZ</t>
  </si>
  <si>
    <t>0NQH4ZZ</t>
  </si>
  <si>
    <t>0QS83DZ</t>
  </si>
  <si>
    <t>0M844ZZ</t>
  </si>
  <si>
    <t>0TL77DZ</t>
  </si>
  <si>
    <t>0VU5XJZ</t>
  </si>
  <si>
    <t>03HN4DZ</t>
  </si>
  <si>
    <t>04BF3ZZ</t>
  </si>
  <si>
    <t>0J9M3ZZ</t>
  </si>
  <si>
    <t>0RWJ3KZ</t>
  </si>
  <si>
    <t>0U504ZZ</t>
  </si>
  <si>
    <t>0QRL4JZ</t>
  </si>
  <si>
    <t>0LUQ0KZ</t>
  </si>
  <si>
    <t>10Q08YH</t>
  </si>
  <si>
    <t>079K00Z</t>
  </si>
  <si>
    <t>02C23Z6</t>
  </si>
  <si>
    <t>00QB4ZZ</t>
  </si>
  <si>
    <t>0KQ33ZZ</t>
  </si>
  <si>
    <t>7W03X8Z</t>
  </si>
  <si>
    <t>04HQ03Z</t>
  </si>
  <si>
    <t>2W0DX2Z</t>
  </si>
  <si>
    <t>09NN3ZZ</t>
  </si>
  <si>
    <t>0TB43ZZ</t>
  </si>
  <si>
    <t>08P07JZ</t>
  </si>
  <si>
    <t>06R50KZ</t>
  </si>
  <si>
    <t>0Y9H3ZX</t>
  </si>
  <si>
    <t>061M4ZY</t>
  </si>
  <si>
    <t>image2</t>
  </si>
  <si>
    <t>https://thegove.github.io/documents/museum/images/0CLC7ZZ.jpg</t>
  </si>
  <si>
    <t>https://thegove.github.io/documents/museum/images/09NC0ZZ.jpg</t>
  </si>
  <si>
    <t>https://thegove.github.io/documents/museum/images/03R34KZ.jpg</t>
  </si>
  <si>
    <t>https://thegove.github.io/documents/museum/images/03Q83ZZ.jpg</t>
  </si>
  <si>
    <t>https://thegove.github.io/documents/museum/images/CB129ZZ.jpg</t>
  </si>
  <si>
    <t>https://thegove.github.io/documents/museum/images/0VW843Z.jpg</t>
  </si>
  <si>
    <t>https://thegove.github.io/documents/museum/images/B31H110.jpg</t>
  </si>
  <si>
    <t>https://thegove.github.io/documents/museum/images/04UH37Z.jpg</t>
  </si>
  <si>
    <t>https://thegove.github.io/documents/museum/images/0FCD8ZZ.jpg</t>
  </si>
  <si>
    <t>https://thegove.github.io/documents/museum/images/0DRV4KZ.jpg</t>
  </si>
  <si>
    <t>https://thegove.github.io/documents/museum/images/02170JT.jpg</t>
  </si>
  <si>
    <t>https://thegove.github.io/documents/museum/images/0M9130Z.jpg</t>
  </si>
  <si>
    <t>https://thegove.github.io/documents/museum/images/0Y3N4ZZ.jpg</t>
  </si>
  <si>
    <t>https://thegove.github.io/documents/museum/images/04CC0ZZ.jpg</t>
  </si>
  <si>
    <t>https://thegove.github.io/documents/museum/images/0M513ZZ.jpg</t>
  </si>
  <si>
    <t>https://thegove.github.io/documents/museum/images/0RSM05Z.jpg</t>
  </si>
  <si>
    <t>https://thegove.github.io/documents/museum/images/0XQD0ZZ.jpg</t>
  </si>
  <si>
    <t>https://thegove.github.io/documents/museum/images/F07F1YZ.jpg</t>
  </si>
  <si>
    <t>https://thegove.github.io/documents/museum/images/02LH3ZZ.jpg</t>
  </si>
  <si>
    <t>https://thegove.github.io/documents/museum/images/0QW33KZ.jpg</t>
  </si>
  <si>
    <t>https://thegove.github.io/documents/museum/images/0WWH41Z.jpg</t>
  </si>
  <si>
    <t>https://thegove.github.io/documents/museum/images/00W642Z.jpg</t>
  </si>
  <si>
    <t>https://thegove.github.io/documents/museum/images/0U5K0ZZ.jpg</t>
  </si>
  <si>
    <t>https://thegove.github.io/documents/museum/images/027G04Z.jpg</t>
  </si>
  <si>
    <t>https://thegove.github.io/documents/museum/images/0SBF4ZZ.jpg</t>
  </si>
  <si>
    <t>https://thegove.github.io/documents/museum/images/F14Z2ZZ.jpg</t>
  </si>
  <si>
    <t>https://thegove.github.io/documents/museum/images/0M9M30Z.jpg</t>
  </si>
  <si>
    <t>https://thegove.github.io/documents/museum/images/0N5N0ZZ.jpg</t>
  </si>
  <si>
    <t>https://thegove.github.io/documents/museum/images/057P0ZZ.jpg</t>
  </si>
  <si>
    <t>https://thegove.github.io/documents/museum/images/0D158J6.jpg</t>
  </si>
  <si>
    <t>https://thegove.github.io/documents/museum/images/09TC4ZZ.jpg</t>
  </si>
  <si>
    <t>https://thegove.github.io/documents/museum/images/0QBG3ZZ.jpg</t>
  </si>
  <si>
    <t>https://thegove.github.io/documents/museum/images/099C0ZZ.jpg</t>
  </si>
  <si>
    <t>https://thegove.github.io/documents/museum/images/04UR07Z.jpg</t>
  </si>
  <si>
    <t>https://thegove.github.io/documents/museum/images/05UT4JZ.jpg</t>
  </si>
  <si>
    <t>https://thegove.github.io/documents/museum/images/07C33ZZ.jpg</t>
  </si>
  <si>
    <t>https://thegove.github.io/documents/museum/images/F0786UZ.jpg</t>
  </si>
  <si>
    <t>https://thegove.github.io/documents/museum/images/01B23ZX.jpg</t>
  </si>
  <si>
    <t>https://thegove.github.io/documents/museum/images/0PN30ZZ.jpg</t>
  </si>
  <si>
    <t>https://thegove.github.io/documents/museum/images/0TP93KZ.jpg</t>
  </si>
  <si>
    <t>https://thegove.github.io/documents/museum/images/0RWE04Z.jpg</t>
  </si>
  <si>
    <t>https://thegove.github.io/documents/museum/images/0H9U70Z.jpg</t>
  </si>
  <si>
    <t>https://thegove.github.io/documents/museum/images/3E030PZ.jpg</t>
  </si>
  <si>
    <t>https://thegove.github.io/documents/museum/images/0SU74KZ.jpg</t>
  </si>
  <si>
    <t>https://thegove.github.io/documents/museum/images/00U10KZ.jpg</t>
  </si>
  <si>
    <t>https://thegove.github.io/documents/museum/images/0BPK71Z.jpg</t>
  </si>
  <si>
    <t>https://thegove.github.io/documents/museum/images/0RPK08Z.jpg</t>
  </si>
  <si>
    <t>https://thegove.github.io/documents/museum/images/04C60ZZ.jpg</t>
  </si>
  <si>
    <t>https://thegove.github.io/documents/museum/images/3E0H80M.jpg</t>
  </si>
  <si>
    <t>https://thegove.github.io/documents/museum/images/07YM0Z0.jpg</t>
  </si>
  <si>
    <t>https://thegove.github.io/documents/museum/images/0KQD4ZZ.jpg</t>
  </si>
  <si>
    <t>https://thegove.github.io/documents/museum/images/04HM43Z.jpg</t>
  </si>
  <si>
    <t>https://thegove.github.io/documents/museum/images/0NRT0KZ.jpg</t>
  </si>
  <si>
    <t>https://thegove.github.io/documents/museum/images/0SRS039.jpg</t>
  </si>
  <si>
    <t>https://thegove.github.io/documents/museum/images/0DTE8ZZ.jpg</t>
  </si>
  <si>
    <t>https://thegove.github.io/documents/museum/images/0NQH4ZZ.jpg</t>
  </si>
  <si>
    <t>https://thegove.github.io/documents/museum/images/0QS83DZ.jpg</t>
  </si>
  <si>
    <t>https://thegove.github.io/documents/museum/images/0M844ZZ.jpg</t>
  </si>
  <si>
    <t>https://thegove.github.io/documents/museum/images/0TL77DZ.jpg</t>
  </si>
  <si>
    <t>https://thegove.github.io/documents/museum/images/0VU5XJZ.jpg</t>
  </si>
  <si>
    <t>https://thegove.github.io/documents/museum/images/03HN4DZ.jpg</t>
  </si>
  <si>
    <t>https://thegove.github.io/documents/museum/images/04BF3ZZ.jpg</t>
  </si>
  <si>
    <t>https://thegove.github.io/documents/museum/images/0J9M3ZZ.jpg</t>
  </si>
  <si>
    <t>https://thegove.github.io/documents/museum/images/0RWJ3KZ.jpg</t>
  </si>
  <si>
    <t>https://thegove.github.io/documents/museum/images/0U504ZZ.jpg</t>
  </si>
  <si>
    <t>https://thegove.github.io/documents/museum/images/0QRL4JZ.jpg</t>
  </si>
  <si>
    <t>https://thegove.github.io/documents/museum/images/0LUQ0KZ.jpg</t>
  </si>
  <si>
    <t>https://thegove.github.io/documents/museum/images/10Q08YH.jpg</t>
  </si>
  <si>
    <t>https://thegove.github.io/documents/museum/images/079K00Z.jpg</t>
  </si>
  <si>
    <t>https://thegove.github.io/documents/museum/images/02C23Z6.jpg</t>
  </si>
  <si>
    <t>https://thegove.github.io/documents/museum/images/00QB4ZZ.jpg</t>
  </si>
  <si>
    <t>https://thegove.github.io/documents/museum/images/0KQ33ZZ.jpg</t>
  </si>
  <si>
    <t>https://thegove.github.io/documents/museum/images/7W03X8Z.jpg</t>
  </si>
  <si>
    <t>https://thegove.github.io/documents/museum/images/04HQ03Z.jpg</t>
  </si>
  <si>
    <t>https://thegove.github.io/documents/museum/images/2W0DX2Z.jpg</t>
  </si>
  <si>
    <t>https://thegove.github.io/documents/museum/images/09NN3ZZ.jpg</t>
  </si>
  <si>
    <t>https://thegove.github.io/documents/museum/images/0TB43ZZ.jpg</t>
  </si>
  <si>
    <t>https://thegove.github.io/documents/museum/images/08P07JZ.jpg</t>
  </si>
  <si>
    <t>https://thegove.github.io/documents/museum/images/06R50KZ.jpg</t>
  </si>
  <si>
    <t>https://thegove.github.io/documents/museum/images/0Y9H3ZX.jpg</t>
  </si>
  <si>
    <t>https://thegove.github.io/documents/museum/images/061M4ZY.jpg</t>
  </si>
  <si>
    <t>Insurer</t>
  </si>
  <si>
    <t>4521 Highwoods Parkway</t>
  </si>
  <si>
    <t>Glen Allen</t>
  </si>
  <si>
    <t xml:space="preserve">800-431-1270 </t>
  </si>
  <si>
    <t>Markel Insurance</t>
  </si>
  <si>
    <t>800-506-3358</t>
  </si>
  <si>
    <t>The Travelers Companies</t>
  </si>
  <si>
    <t>One Tower Square</t>
  </si>
  <si>
    <t>Hartford</t>
  </si>
  <si>
    <t>06183</t>
  </si>
  <si>
    <t>Philadelphia Insurance Companies</t>
  </si>
  <si>
    <t>One Bala Plaza</t>
  </si>
  <si>
    <t>Bala Cynwyd</t>
  </si>
  <si>
    <t>19004</t>
  </si>
  <si>
    <t>800-873-4552</t>
  </si>
  <si>
    <t>Huntington T. Block</t>
  </si>
  <si>
    <t>855-219-3189</t>
  </si>
  <si>
    <t>2001 K Street, NW</t>
  </si>
  <si>
    <t>Suite 625 North</t>
  </si>
  <si>
    <t>20006</t>
  </si>
  <si>
    <t>Ste 100</t>
  </si>
  <si>
    <t>EMC Insurance Companies</t>
  </si>
  <si>
    <t>717 Mulberry Street</t>
  </si>
  <si>
    <t>IA</t>
  </si>
  <si>
    <t>50306</t>
  </si>
  <si>
    <t>800-447-2295</t>
  </si>
  <si>
    <t>Grundy Insurance</t>
  </si>
  <si>
    <t>400 Horsham Road</t>
  </si>
  <si>
    <t>Horsham</t>
  </si>
  <si>
    <t>215-674-1099</t>
  </si>
  <si>
    <t>William G. Fleischer</t>
  </si>
  <si>
    <t>29 Broadway</t>
  </si>
  <si>
    <t>Suite 1511</t>
  </si>
  <si>
    <t>212-566-1881</t>
  </si>
  <si>
    <t xml:space="preserve">AmTrust Financial </t>
  </si>
  <si>
    <t>59 Maiden Lane</t>
  </si>
  <si>
    <t>212-220-7120</t>
  </si>
  <si>
    <t>IL</t>
  </si>
  <si>
    <t>Stamford</t>
  </si>
  <si>
    <t>70 Seaview Avenue</t>
  </si>
  <si>
    <t>XL Reinsurance America</t>
  </si>
  <si>
    <t xml:space="preserve">800-622-1840 </t>
  </si>
  <si>
    <t>06902</t>
  </si>
  <si>
    <t>Liberty Mutual Insurance Company</t>
  </si>
  <si>
    <t>175 Berkeley Street</t>
  </si>
  <si>
    <t>02116</t>
  </si>
  <si>
    <t>617-357-9500</t>
  </si>
  <si>
    <t>Gallagher US</t>
  </si>
  <si>
    <t>2850 Golf Road</t>
  </si>
  <si>
    <t>Rolling Meadows</t>
  </si>
  <si>
    <t>60008</t>
  </si>
  <si>
    <t>630-773-3800</t>
  </si>
  <si>
    <t>Policy Number</t>
  </si>
  <si>
    <t>Primary Insurer</t>
  </si>
  <si>
    <t>Des Moines</t>
  </si>
  <si>
    <t>29745</t>
  </si>
  <si>
    <t>Zip</t>
  </si>
  <si>
    <t>Cow Horn, Wood, Iron</t>
  </si>
  <si>
    <t>Ink, Paper</t>
  </si>
  <si>
    <t>Gouache, Paper</t>
  </si>
  <si>
    <t>Cow Horn, Wood</t>
  </si>
  <si>
    <t>Cow Horn, Wood (pine), Iron, Ink</t>
  </si>
  <si>
    <t>Cow Horn, Wood, Brass, Ink</t>
  </si>
  <si>
    <t>Cow Horn, Leather, Iron, Wood (pine)</t>
  </si>
  <si>
    <t>Oil Paint, Canvas</t>
  </si>
  <si>
    <t>Oil Paint, Tin</t>
  </si>
  <si>
    <t>Wood (cedar), Wood(oak)</t>
  </si>
  <si>
    <t>Printed by Richard and Edward Atkins</t>
  </si>
  <si>
    <t xml:space="preserve">Drawn by Richard St. George Mansergh </t>
  </si>
  <si>
    <t>Made by Richard Wilson &amp; Company</t>
  </si>
  <si>
    <t>ca. 1776</t>
  </si>
  <si>
    <t>1780-1799</t>
  </si>
  <si>
    <t>Made at Charleville Armory</t>
  </si>
  <si>
    <t xml:space="preserve">  City</t>
  </si>
  <si>
    <t>101 S 3rd St</t>
  </si>
  <si>
    <t>ART 918657511</t>
  </si>
  <si>
    <t>30 EMC 876561</t>
  </si>
  <si>
    <t>38 EMC 372569</t>
  </si>
  <si>
    <t>93 EMC 370338</t>
  </si>
  <si>
    <t>78 EMC 860612</t>
  </si>
  <si>
    <t>46-BJV-8228</t>
  </si>
  <si>
    <t>28-CNP-9811</t>
  </si>
  <si>
    <t>5892I 812031</t>
  </si>
  <si>
    <t>7159Z 268243</t>
  </si>
  <si>
    <t>25055586734</t>
  </si>
  <si>
    <t>27859275800</t>
  </si>
  <si>
    <t>5 9803855 71</t>
  </si>
  <si>
    <t>4 4071961 28</t>
  </si>
  <si>
    <t>PIC7731023400</t>
  </si>
  <si>
    <t>PIC1324292938</t>
  </si>
  <si>
    <t>PIC4692496695</t>
  </si>
  <si>
    <t>PIC4853888932</t>
  </si>
  <si>
    <t>H847510825</t>
  </si>
  <si>
    <t>W671263175</t>
  </si>
  <si>
    <t>SMW-395-197742-52</t>
  </si>
  <si>
    <t>233998225 546 1</t>
  </si>
  <si>
    <t>876393958 122 6</t>
  </si>
  <si>
    <t>503477687 705 7</t>
  </si>
  <si>
    <t>7FOVX66KN</t>
  </si>
  <si>
    <t>owner_city</t>
  </si>
  <si>
    <t>owner_zip</t>
  </si>
  <si>
    <t>owner_phone</t>
  </si>
  <si>
    <t>insurer</t>
  </si>
  <si>
    <t>name</t>
  </si>
  <si>
    <t>type</t>
  </si>
  <si>
    <t>description</t>
  </si>
  <si>
    <t>creator</t>
  </si>
  <si>
    <t>location</t>
  </si>
  <si>
    <t>date_made</t>
  </si>
  <si>
    <t>media</t>
  </si>
  <si>
    <t>owner</t>
  </si>
  <si>
    <t>owner_address</t>
  </si>
  <si>
    <t>policy_number</t>
  </si>
  <si>
    <t>image_url</t>
  </si>
  <si>
    <t>owern_state</t>
  </si>
  <si>
    <t>insurer_address3</t>
  </si>
  <si>
    <t>insurer_address</t>
  </si>
  <si>
    <t>insurer_city</t>
  </si>
  <si>
    <t>insurer_state</t>
  </si>
  <si>
    <t>insurer_zip</t>
  </si>
  <si>
    <t>phone</t>
  </si>
  <si>
    <t>title</t>
  </si>
  <si>
    <t>Dorchester, Massachusetts, USA</t>
  </si>
  <si>
    <t>USA</t>
  </si>
  <si>
    <t>Liverpool, England, UK</t>
  </si>
  <si>
    <t>England, UK</t>
  </si>
  <si>
    <t>London, England, UK</t>
  </si>
  <si>
    <t xml:space="preserve">London, England, UK </t>
  </si>
  <si>
    <t xml:space="preserve">England, UK </t>
  </si>
  <si>
    <t>Staffordshire, England, UK</t>
  </si>
  <si>
    <t xml:space="preserve">USA </t>
  </si>
  <si>
    <t>Virginia, USA</t>
  </si>
  <si>
    <t>Kentucky , USA</t>
  </si>
  <si>
    <t>Philadelphia, Pennsylvania, USA</t>
  </si>
  <si>
    <t>Reading, Pennsylvania, USA</t>
  </si>
  <si>
    <t>Falmouth, Virginia, USA</t>
  </si>
  <si>
    <t>New York, USA</t>
  </si>
  <si>
    <t>Washington, DC, USA</t>
  </si>
  <si>
    <t>Warwick, Rhode Island, USA</t>
  </si>
  <si>
    <t>Arlington, Virginia, USA</t>
  </si>
  <si>
    <t>South Adams, Massachusetts, USA</t>
  </si>
  <si>
    <t>West Point, New York, USA</t>
  </si>
  <si>
    <t>Christian’s Spring, Pennsylvania, USA</t>
  </si>
  <si>
    <t>Massachusetts, USA</t>
  </si>
  <si>
    <t>Edinburgh, Scotland, UK</t>
  </si>
  <si>
    <t>Temple Farm, Massachusetts, USA</t>
  </si>
  <si>
    <t>Taunton, Massachusetts, USA</t>
  </si>
  <si>
    <t>Pennsylvania, USA</t>
  </si>
  <si>
    <t>UK</t>
  </si>
  <si>
    <t>Verplanck’s Point, New York, USA</t>
  </si>
  <si>
    <t>New London, Connecticut, USA</t>
  </si>
  <si>
    <t>Paris, France, EU</t>
  </si>
  <si>
    <t>Naples, Italy, EU</t>
  </si>
  <si>
    <t>Klingenthal, France, EU</t>
  </si>
  <si>
    <t>Germany, EU</t>
  </si>
  <si>
    <t>France, EU</t>
  </si>
  <si>
    <t>Dublin, Ireland, UK</t>
  </si>
  <si>
    <t>Charleville, France, EU</t>
  </si>
  <si>
    <t>Besancon, France, EU</t>
  </si>
  <si>
    <t xml:space="preserve">Made by Thomas Hall </t>
  </si>
  <si>
    <t>Made by James Cullum</t>
  </si>
  <si>
    <t>Printed by United States Government Printing Office</t>
  </si>
  <si>
    <t>Made by Herculaneum Pottery</t>
  </si>
  <si>
    <t>Made by Joseph Copp</t>
  </si>
  <si>
    <t>Attributed to Henry LeGrand</t>
  </si>
  <si>
    <t>Made by Sally Queen &amp; Associates</t>
  </si>
  <si>
    <t>Drawn by Sebastian Bauman</t>
  </si>
  <si>
    <t>Made by James Frazer</t>
  </si>
  <si>
    <t>Photographed by L. F. Hurd</t>
  </si>
  <si>
    <t>Painted by David Martin</t>
  </si>
  <si>
    <t>Christopher Ludwick (1720-1801), a native of Hesse-Darmstadt in the German-speaking region of central Europe, established a bakery in Philadelphia in 1754. Ludwick later served as Superintendent of Bakers in the Continental Army during the Revolutionary War. His descendants carefully preserved this carved wooden cookie board or mold as a memento of their ancestor’s role in the founding of the United States.</t>
  </si>
  <si>
    <t xml:space="preserve">This early 18th-century English law book was listed in Patrick Henry’s 1799 estate inventory and still bear Henry’s printed bookplate. This was previous owners was Bartholomew Dandridge, whose older sister Martha Dandridge (Custis) married George Washington in January 1759. </t>
  </si>
  <si>
    <t>borrowed_date</t>
  </si>
  <si>
    <t>due_date</t>
  </si>
  <si>
    <t>3/27/2020</t>
  </si>
  <si>
    <t>2/27/2025</t>
  </si>
  <si>
    <t>10/17/2021</t>
  </si>
  <si>
    <t>9/17/2024</t>
  </si>
  <si>
    <t>8/19/2021</t>
  </si>
  <si>
    <t>3/19/2025</t>
  </si>
  <si>
    <t>4/24/2020</t>
  </si>
  <si>
    <t>8/24/2024</t>
  </si>
  <si>
    <t>9/11/2020</t>
  </si>
  <si>
    <t>7/11/2024</t>
  </si>
  <si>
    <t>12/7/2020</t>
  </si>
  <si>
    <t>2/7/2025</t>
  </si>
  <si>
    <t>12/10/2021</t>
  </si>
  <si>
    <t>5/10/2025</t>
  </si>
  <si>
    <t>8/20/2021</t>
  </si>
  <si>
    <t>7/20/2024</t>
  </si>
  <si>
    <t>7/15/2021</t>
  </si>
  <si>
    <t>1/15/2025</t>
  </si>
  <si>
    <t>9/22/2019</t>
  </si>
  <si>
    <t>7/22/2024</t>
  </si>
  <si>
    <t>6/22/2020</t>
  </si>
  <si>
    <t>2/22/2025</t>
  </si>
  <si>
    <t>2/23/2019</t>
  </si>
  <si>
    <t>9/23/2024</t>
  </si>
  <si>
    <t>1/3/2019</t>
  </si>
  <si>
    <t>1/3/2025</t>
  </si>
  <si>
    <t>10/27/2020</t>
  </si>
  <si>
    <t>7/27/2024</t>
  </si>
  <si>
    <t>12/3/2021</t>
  </si>
  <si>
    <t>5/3/2025</t>
  </si>
  <si>
    <t>1/25/2020</t>
  </si>
  <si>
    <t>3/25/2025</t>
  </si>
  <si>
    <t>2/17/2021</t>
  </si>
  <si>
    <t>2/17/2025</t>
  </si>
  <si>
    <t>8/16/2021</t>
  </si>
  <si>
    <t>5/16/2025</t>
  </si>
  <si>
    <t>4/4/2019</t>
  </si>
  <si>
    <t>1/4/2025</t>
  </si>
  <si>
    <t>6/13/2020</t>
  </si>
  <si>
    <t>9/13/2024</t>
  </si>
  <si>
    <t>11/13/2020</t>
  </si>
  <si>
    <t>5/13/2025</t>
  </si>
  <si>
    <t>policy_limit</t>
  </si>
  <si>
    <t xml:space="preserve">Aircraft, </t>
  </si>
  <si>
    <t xml:space="preserve">Earthquake, </t>
  </si>
  <si>
    <t xml:space="preserve">Explosion, </t>
  </si>
  <si>
    <t xml:space="preserve">Falling objects, </t>
  </si>
  <si>
    <t xml:space="preserve">Fire, </t>
  </si>
  <si>
    <t xml:space="preserve">Flood, </t>
  </si>
  <si>
    <t xml:space="preserve">Hail, </t>
  </si>
  <si>
    <t xml:space="preserve">lightning, </t>
  </si>
  <si>
    <t xml:space="preserve">Riot, </t>
  </si>
  <si>
    <t xml:space="preserve">Smoke, </t>
  </si>
  <si>
    <t xml:space="preserve">Terrorism, </t>
  </si>
  <si>
    <t xml:space="preserve">Theft, </t>
  </si>
  <si>
    <t xml:space="preserve">Transit Accident, </t>
  </si>
  <si>
    <t xml:space="preserve">Vandalism, </t>
  </si>
  <si>
    <t xml:space="preserve">Windstorm, </t>
  </si>
  <si>
    <t>policy_perils</t>
  </si>
  <si>
    <t>Aircraft, Earthquake, Explosion, Falling objects, Fire, Flood, Hail, Riot, Smoke, Theft</t>
  </si>
  <si>
    <t>Earthquake, Explosion, Fire, Flood, Hail, Smoke, Theft, Vandalism</t>
  </si>
  <si>
    <t>Aircraft, Earthquake, Falling objects, Fire, Flood, lightning, Smoke, Theft, Windstorm</t>
  </si>
  <si>
    <t>Aircraft, Earthquake, Falling objects, Fire, Flood, Hail, Smoke, Theft, Transit Accident, Vandalism</t>
  </si>
  <si>
    <t>Aircraft, Earthquake, Fire, Flood, Hail, Theft, Transit Accident</t>
  </si>
  <si>
    <t>Aircraft, Explosion, Fire, Flood, lightning, Smoke, Terrorism, Theft, Windstorm</t>
  </si>
  <si>
    <t>Fire, Flood, Hail, Riot, Smoke, Theft, Transit Accident, Vandalism</t>
  </si>
  <si>
    <t>Falling objects, Fire, Flood, Hail, Riot, Smoke, Theft</t>
  </si>
  <si>
    <t>Explosion, Falling objects, Fire, Flood, Hail, Smoke, Theft, Vandalism, Windstorm</t>
  </si>
  <si>
    <t>Explosion, Falling objects, Fire, Flood, Hail, Riot, Smoke, Theft, Windstorm</t>
  </si>
  <si>
    <t>Explosion, Falling objects, Fire, Flood, Hail, lightning, Smoke, Theft, Vandalism, Windstorm</t>
  </si>
  <si>
    <t>Aircraft, Earthquake, Explosion, Fire, Flood, Smoke, Terrorism, Theft, Transit Accident</t>
  </si>
  <si>
    <t>Aircraft, Explosion, Falling objects, Fire, Flood, Theft, Transit Accident, Windstorm</t>
  </si>
  <si>
    <t>Aircraft, Explosion, Falling objects, Fire, Flood, Hail, Riot, Smoke, Terrorism, Theft, Transit Accident, Windstorm</t>
  </si>
  <si>
    <t>Aircraft, Earthquake, Explosion, Fire, Flood, Hail, Smoke, Terrorism, Theft, Transit Accident, Vandalism</t>
  </si>
  <si>
    <t>Aircraft, Earthquake, Explosion, Falling objects, Fire, Flood, lightning, Riot, Smoke, Theft</t>
  </si>
  <si>
    <t>Aircraft, Explosion, Falling objects, Fire, Flood, Hail, Riot, Theft, Transit Accident</t>
  </si>
  <si>
    <t>Earthquake, Falling objects, Fire, Flood, Hail, Riot, Theft</t>
  </si>
  <si>
    <t>Explosion, Falling objects, Fire, Flood, Hail, Smoke, Terrorism, Theft</t>
  </si>
  <si>
    <t>Falling objects, Fire, Flood, Hail, lightning, Terrorism, Theft, Transit Accident</t>
  </si>
  <si>
    <t>Falling objects, Fire, Flood, Hail, lightning, Smoke, Terrorism, Theft</t>
  </si>
  <si>
    <t>Fire, Flood, Hail, lightning, Riot, Smoke, Theft</t>
  </si>
  <si>
    <t>Aircraft, Explosion, Fire, Smoke, Terrorism, Theft, Vandalism</t>
  </si>
  <si>
    <t>Earthquake, Explosion, Fire, Flood, Hail, lightning, Riot, Smoke, Terrorism, Theft, Transit Accident, Vandalism, Windstorm</t>
  </si>
  <si>
    <t>policy_deductible</t>
  </si>
  <si>
    <t>deductible</t>
  </si>
  <si>
    <t>Abraham Whipple</t>
  </si>
  <si>
    <t>https://en.wikipedia.org/wiki/Abraham_Whipple</t>
  </si>
  <si>
    <t>Adam Stephen</t>
  </si>
  <si>
    <t>https://en.wikipedia.org/wiki/Adam_Stephen</t>
  </si>
  <si>
    <t>Albrecht von Horn</t>
  </si>
  <si>
    <t>Alexander Leslie</t>
  </si>
  <si>
    <t>https://en.wikipedia.org/wiki/Alexander_Leslie_(British_Army_officer)</t>
  </si>
  <si>
    <t>Alexander Lillington</t>
  </si>
  <si>
    <t>https://en.wikipedia.org/wiki/Alexander_Lillington</t>
  </si>
  <si>
    <t>Alexander McDougall</t>
  </si>
  <si>
    <t>https://en.wikipedia.org/wiki/Alexander_McDougall</t>
  </si>
  <si>
    <t>Alexander Mebane</t>
  </si>
  <si>
    <t>https://en.wikipedia.org/wiki/Alexander_Mebane</t>
  </si>
  <si>
    <t>Alexandre Marie Léonor de Saint-Mauris de Montbarrey</t>
  </si>
  <si>
    <t>https://en.wikipedia.org/wiki/Alexandre_Marie_L%C3%A9onor_de_Saint-Mauris_de_Montbarrey</t>
  </si>
  <si>
    <t>Allen Jones</t>
  </si>
  <si>
    <t>https://en.wikipedia.org/wiki/Allen_Jones_(Continental_Congress)</t>
  </si>
  <si>
    <t>Ambrose Ramsey</t>
  </si>
  <si>
    <t>https://en.wikipedia.org/wiki/Ambrose_Ramsey</t>
  </si>
  <si>
    <t>Andrew Lewis</t>
  </si>
  <si>
    <t>https://en.wikipedia.org/wiki/Andrew_Lewis_(soldier)</t>
  </si>
  <si>
    <t>Andrew Pickens</t>
  </si>
  <si>
    <t>https://en.wikipedia.org/wiki/Andrew_Pickens_(congressman)</t>
  </si>
  <si>
    <t>Andrew Williamson</t>
  </si>
  <si>
    <t>https://en.wikipedia.org/wiki/Andrew_Williamson_(soldier)</t>
  </si>
  <si>
    <t>Anthony Wayne</t>
  </si>
  <si>
    <t>https://en.wikipedia.org/wiki/Anthony_Wayne</t>
  </si>
  <si>
    <t>Antoine de Sartine</t>
  </si>
  <si>
    <t>https://en.wikipedia.org/wiki/Antoine_de_Sartine</t>
  </si>
  <si>
    <t>Antonio Barceló</t>
  </si>
  <si>
    <t>https://en.wikipedia.org/wiki/Antonio_Barcel%C3%B3</t>
  </si>
  <si>
    <t>Archibald Campbell</t>
  </si>
  <si>
    <t>https://en.wikipedia.org/wiki/Archibald_Campbell_(British_Army_officer)</t>
  </si>
  <si>
    <t>Armand Louis de Gontaut</t>
  </si>
  <si>
    <t>https://en.wikipedia.org/wiki/Armand_Louis_de_Gontaut</t>
  </si>
  <si>
    <t>Artemas Ward</t>
  </si>
  <si>
    <t>https://en.wikipedia.org/wiki/Artemas_Ward</t>
  </si>
  <si>
    <t>Arthur St. Clair</t>
  </si>
  <si>
    <t>https://en.wikipedia.org/wiki/Arthur_St._Clair</t>
  </si>
  <si>
    <t>August de la Motte</t>
  </si>
  <si>
    <t>https://en.wikipedia.org/wiki/August_de_la_Motte</t>
  </si>
  <si>
    <t>Augustine Prévost</t>
  </si>
  <si>
    <t>https://en.wikipedia.org/wiki/Augustine_Pr%C3%A9vost</t>
  </si>
  <si>
    <t>Banastre Tarleton</t>
  </si>
  <si>
    <t>https://en.wikipedia.org/wiki/Banastre_Tarleton</t>
  </si>
  <si>
    <t>Benedict Arnold</t>
  </si>
  <si>
    <t>https://en.wikipedia.org/wiki/Benedict_Arnold</t>
  </si>
  <si>
    <t>Benjamin Lincoln</t>
  </si>
  <si>
    <t>https://en.wikipedia.org/wiki/Benjamin_Lincoln</t>
  </si>
  <si>
    <t>Bernardo de Gálvez</t>
  </si>
  <si>
    <t>https://en.wikipedia.org/wiki/Bernardo_de_G%C3%A1lvez</t>
  </si>
  <si>
    <t>Bonaventura Moreno</t>
  </si>
  <si>
    <t>https://en.wikipedia.org/wiki/Bonaventura_Moreno</t>
  </si>
  <si>
    <t>Carel Hendrik Ver Huell</t>
  </si>
  <si>
    <t>https://en.wikipedia.org/wiki/Carel_Hendrik_Ver_Huell</t>
  </si>
  <si>
    <t>Charles Armand Tuffin</t>
  </si>
  <si>
    <t>https://en.wikipedia.org/wiki/Charles_Armand_Tuffin,_marquis_de_la_Rou%C3%ABrie</t>
  </si>
  <si>
    <t>Charles Cornwallis</t>
  </si>
  <si>
    <t>https://en.wikipedia.org/wiki/Charles_Cornwallis,_1st_Marquess_Cornwallis</t>
  </si>
  <si>
    <t>Charles Douglas</t>
  </si>
  <si>
    <t>https://en.wikipedia.org/wiki/Sir_Charles_Douglas,_1st_Baronet</t>
  </si>
  <si>
    <t>Charles du Houx de Vioménil</t>
  </si>
  <si>
    <t>https://en.wikipedia.org/wiki/Charles_du_Houx_de_Viom%C3%A9nil</t>
  </si>
  <si>
    <t>Charles Eugène Gabriel de La Croix</t>
  </si>
  <si>
    <t>https://en.wikipedia.org/wiki/Charles_Eug%C3%A8ne_Gabriel_de_La_Croix,_marquis_de_Castries</t>
  </si>
  <si>
    <t>Charles Gravier</t>
  </si>
  <si>
    <t>https://en.wikipedia.org/wiki/Charles_Gravier,_comte_de_Vergennes</t>
  </si>
  <si>
    <t>Charles Grey</t>
  </si>
  <si>
    <t>https://en.wikipedia.org/wiki/Charles_Grey,_1st_Earl_Grey</t>
  </si>
  <si>
    <t>Charles Hector</t>
  </si>
  <si>
    <t>https://en.wikipedia.org/wiki/Charles_Hector,_comte_d%27Estaing</t>
  </si>
  <si>
    <t>Charles Jenkinson</t>
  </si>
  <si>
    <t>https://en.wikipedia.org/wiki/Charles_Jenkinson,_1st_Earl_of_Liverpool</t>
  </si>
  <si>
    <t>Charles Joseph Patissier</t>
  </si>
  <si>
    <t>https://en.wikipedia.org/wiki/Marquis_de_Bussy-Castelnau</t>
  </si>
  <si>
    <t>Charles Lee</t>
  </si>
  <si>
    <t>https://en.wikipedia.org/wiki/Charles_Lee_(general)</t>
  </si>
  <si>
    <t>Charles McDowell</t>
  </si>
  <si>
    <t>https://en.wikipedia.org/wiki/Charles_McDowell_(North_Carolina_militiaman)</t>
  </si>
  <si>
    <t>Charles René Dominique Sochet</t>
  </si>
  <si>
    <t>https://en.wikipedia.org/wiki/Charles_Ren%C3%A9_Dominique_Sochet,_Chevalier_Destouches</t>
  </si>
  <si>
    <t>Charles Scott</t>
  </si>
  <si>
    <t>https://en.wikipedia.org/wiki/Charles_Scott_(governor)</t>
  </si>
  <si>
    <t>Charles Watson-Wentworth</t>
  </si>
  <si>
    <t>https://en.wikipedia.org/wiki/Charles_Watson-Wentworth,_2nd_Marquess_of_Rockingham</t>
  </si>
  <si>
    <t>Charles-Henri-Louis d'Arsac</t>
  </si>
  <si>
    <t>https://en.wikipedia.org/wiki/Charles-Henri-Louis_d%27Arsac_de_Ternay</t>
  </si>
  <si>
    <t>Christopher Gadsden</t>
  </si>
  <si>
    <t>https://en.wikipedia.org/wiki/Christopher_Gadsden</t>
  </si>
  <si>
    <t>Claude Gabriel</t>
  </si>
  <si>
    <t>https://en.wikipedia.org/wiki/Marquis_de_Choisy</t>
  </si>
  <si>
    <t>Claude Louis</t>
  </si>
  <si>
    <t>https://en.wikipedia.org/wiki/Claude_Louis,_Comte_de_Saint-Germain</t>
  </si>
  <si>
    <t>Claude-Anne de Rouvroy de Saint Simon</t>
  </si>
  <si>
    <t>https://en.wikipedia.org/w/index.php?title=Claude-Anne_de_Rouvroy_de_Saint_Simon&amp;action=edit&amp;redlink=1</t>
  </si>
  <si>
    <t>Daniel Brodhead</t>
  </si>
  <si>
    <t>https://en.wikipedia.org/wiki/Daniel_Brodhead</t>
  </si>
  <si>
    <t>Daniel Morgan</t>
  </si>
  <si>
    <t>https://en.wikipedia.org/wiki/Daniel_Morgan</t>
  </si>
  <si>
    <t>David Wooster</t>
  </si>
  <si>
    <t>https://en.wikipedia.org/wiki/David_Wooster</t>
  </si>
  <si>
    <t>Ebenezer Learned</t>
  </si>
  <si>
    <t>https://en.wikipedia.org/wiki/Ebenezer_Learned</t>
  </si>
  <si>
    <t>Edward Vaile</t>
  </si>
  <si>
    <t>https://en.wikipedia.org/wiki/Edward_Vaile</t>
  </si>
  <si>
    <t>Elias Dayton</t>
  </si>
  <si>
    <t>https://en.wikipedia.org/wiki/Elias_Dayton</t>
  </si>
  <si>
    <t>Enoch Poor</t>
  </si>
  <si>
    <t>https://en.wikipedia.org/wiki/Enoch_Poor</t>
  </si>
  <si>
    <t>Esek Hopkins</t>
  </si>
  <si>
    <t>https://en.wikipedia.org/wiki/Esek_Hopkins</t>
  </si>
  <si>
    <t>Ethan Allen</t>
  </si>
  <si>
    <t>https://en.wikipedia.org/wiki/Ethan_Allen</t>
  </si>
  <si>
    <t>Eyre Coote</t>
  </si>
  <si>
    <t>https://en.wikipedia.org/wiki/Eyre_Coote_(East_India_Company_officer)</t>
  </si>
  <si>
    <t>Francis Marion</t>
  </si>
  <si>
    <t>https://en.wikipedia.org/wiki/Francis_Marion</t>
  </si>
  <si>
    <t>Francis McLean</t>
  </si>
  <si>
    <t>https://en.wikipedia.org/wiki/Francis_McLean_(British_Army_officer)</t>
  </si>
  <si>
    <t>Francis Nash</t>
  </si>
  <si>
    <t>https://en.wikipedia.org/wiki/Francis_Nash</t>
  </si>
  <si>
    <t>Francis Rawdon-Hastings</t>
  </si>
  <si>
    <t>https://en.wikipedia.org/wiki/Francis_Rawdon-Hastings,_1st_Marquess_of_Hastings</t>
  </si>
  <si>
    <t>Francis Smith</t>
  </si>
  <si>
    <t>https://en.wikipedia.org/wiki/Francis_Smith_(British_Army_officer)</t>
  </si>
  <si>
    <t>François Joseph Paul de Grasse</t>
  </si>
  <si>
    <t>https://en.wikipedia.org/wiki/Fran%C3%A7ois_Joseph_Paul_de_Grasse</t>
  </si>
  <si>
    <t>François-Aymar de Monteil</t>
  </si>
  <si>
    <t>https://en.wikipedia.org/wiki/Fran%C3%A7ois-Aymar_de_Monteil</t>
  </si>
  <si>
    <t>François-Jean de Beauvoir</t>
  </si>
  <si>
    <t>https://en.wikipedia.org/wiki/Fran%C3%A7ois-Jean_de_Chastellux</t>
  </si>
  <si>
    <t>Frederick Haldimand</t>
  </si>
  <si>
    <t>https://en.wikipedia.org/wiki/Frederick_Haldimand</t>
  </si>
  <si>
    <t>Frederick North</t>
  </si>
  <si>
    <t>https://en.wikipedia.org/wiki/Frederick_North,_Lord_North</t>
  </si>
  <si>
    <t>Frederick William, Baron de Woedtke</t>
  </si>
  <si>
    <t>https://en.wikipedia.org/wiki/Frederick_William,_Baron_de_Woedtke</t>
  </si>
  <si>
    <t>Friedrich Adolf Riedesel</t>
  </si>
  <si>
    <t>https://en.wikipedia.org/wiki/Friedrich_Adolf_Riedesel</t>
  </si>
  <si>
    <t>Friedrich August Valentin Voit von Salzburg</t>
  </si>
  <si>
    <t>https://en.wikipedia.org/wiki/Friedrich_August_Valentin_Voit_von_Salzburg</t>
  </si>
  <si>
    <t>Friedrich Ludwig Albrecht von Eyb</t>
  </si>
  <si>
    <t>https://en.wikipedia.org/wiki/Friedrich_Ludwig_Albrecht_von_Eyb</t>
  </si>
  <si>
    <t>Friedrich Wilhelm von Lossberg</t>
  </si>
  <si>
    <t>https://en.wikipedia.org/wiki/Friedrich_Wilhelm_von_Lossberg</t>
  </si>
  <si>
    <t>Friedrich Wilhelm von Steuben</t>
  </si>
  <si>
    <t>https://en.wikipedia.org/wiki/Friedrich_Wilhelm_von_Steuben</t>
  </si>
  <si>
    <t>Georg Pausch</t>
  </si>
  <si>
    <t>https://en.wikipedia.org/wiki/Georg_Pausch</t>
  </si>
  <si>
    <t>George Brydges Rodney</t>
  </si>
  <si>
    <t>https://en.wikipedia.org/wiki/George_Brydges_Rodney,_1st_Baron_Rodney</t>
  </si>
  <si>
    <t>George Clinton</t>
  </si>
  <si>
    <t>https://en.wikipedia.org/wiki/George_Clinton_(vice_president)</t>
  </si>
  <si>
    <t>George Collier</t>
  </si>
  <si>
    <t>https://en.wikipedia.org/wiki/George_Collier</t>
  </si>
  <si>
    <t>George Garth</t>
  </si>
  <si>
    <t>https://en.wikipedia.org/wiki/George_Garth</t>
  </si>
  <si>
    <t>George Germain</t>
  </si>
  <si>
    <t>https://en.wikipedia.org/wiki/George_Germain,_1st_Viscount_Sackville</t>
  </si>
  <si>
    <t>George Mathews</t>
  </si>
  <si>
    <t>https://en.wikipedia.org/wiki/George_Mathews_(Georgia)</t>
  </si>
  <si>
    <t>George Rogers Clark</t>
  </si>
  <si>
    <t>https://en.wikipedia.org/wiki/George_Rogers_Clark</t>
  </si>
  <si>
    <t>George Weedon</t>
  </si>
  <si>
    <t>https://en.wikipedia.org/wiki/George_Weedon</t>
  </si>
  <si>
    <t>Gilbert du Motier, Marquis de Lafayette</t>
  </si>
  <si>
    <t>https://en.wikipedia.org/wiki/Gilbert_du_Motier,_Marquis_de_Lafayette</t>
  </si>
  <si>
    <t>Gold Selleck Silliman</t>
  </si>
  <si>
    <t>https://en.wikipedia.org/wiki/Gold_Selleck_Silliman</t>
  </si>
  <si>
    <t>Griffith Rutherford</t>
  </si>
  <si>
    <t>https://en.wikipedia.org/wiki/Griffith_Rutherford</t>
  </si>
  <si>
    <t>Guy Carleton</t>
  </si>
  <si>
    <t>https://en.wikipedia.org/wiki/Guy_Carleton,_1st_Baron_Dorchester</t>
  </si>
  <si>
    <t>Hector Munro</t>
  </si>
  <si>
    <t>https://en.wikipedia.org/wiki/Hector_Munro,_8th_of_Novar</t>
  </si>
  <si>
    <t>Heinrich Bernhard von Sydow</t>
  </si>
  <si>
    <t>https://en.wikipedia.org/w/index.php?title=Heinrich_Bernhard_von_Sydow&amp;action=edit&amp;redlink=1</t>
  </si>
  <si>
    <t>Henry Clinton</t>
  </si>
  <si>
    <t>https://en.wikipedia.org/wiki/Henry_Clinton_(1738%E2%80%931795)</t>
  </si>
  <si>
    <t>Henry Knox</t>
  </si>
  <si>
    <t>https://en.wikipedia.org/wiki/Henry_Knox</t>
  </si>
  <si>
    <t>Henry Seymour Conway</t>
  </si>
  <si>
    <t>https://en.wikipedia.org/wiki/Henry_Seymour_Conway</t>
  </si>
  <si>
    <t>Henry William Harrington</t>
  </si>
  <si>
    <t>https://en.wikipedia.org/wiki/Henry_William_Harrington_(North_Carolina_general)</t>
  </si>
  <si>
    <t>Horatio Gates</t>
  </si>
  <si>
    <t>https://en.wikipedia.org/wiki/Horatio_Gates</t>
  </si>
  <si>
    <t>Hugh Mercer</t>
  </si>
  <si>
    <t>https://en.wikipedia.org/wiki/Hugh_Mercer</t>
  </si>
  <si>
    <t>Iman Willem Falck</t>
  </si>
  <si>
    <t>https://en.wikipedia.org/wiki/Iman_Willem_Falck</t>
  </si>
  <si>
    <t>Isaac Gregory</t>
  </si>
  <si>
    <t>https://en.wikipedia.org/wiki/Isaac_Gregory</t>
  </si>
  <si>
    <t>Isaac Huger</t>
  </si>
  <si>
    <t>https://en.wikipedia.org/wiki/Isaac_Huger</t>
  </si>
  <si>
    <t>Israel Putnam</t>
  </si>
  <si>
    <t>https://en.wikipedia.org/wiki/Israel_Putnam</t>
  </si>
  <si>
    <t>Jacobus Swartwout</t>
  </si>
  <si>
    <t>https://en.wikipedia.org/wiki/Jacobus_Swartwout</t>
  </si>
  <si>
    <t>Jacques-Melchior Saint-Laurent</t>
  </si>
  <si>
    <t>https://en.wikipedia.org/wiki/Jacques-Melchior_Saint-Laurent,_Comte_de_Barras</t>
  </si>
  <si>
    <t>James Abercrombie</t>
  </si>
  <si>
    <t>https://en.wikipedia.org/wiki/James_Abercrombie_(British_Army_officer,_born_1732)</t>
  </si>
  <si>
    <t>James Agnew</t>
  </si>
  <si>
    <t>https://en.wikipedia.org/wiki/James_Agnew_(British_Army_officer)</t>
  </si>
  <si>
    <t>James Gunn</t>
  </si>
  <si>
    <t>https://en.wikipedia.org/wiki/James_Gunn_(senator)</t>
  </si>
  <si>
    <t>James Hogun</t>
  </si>
  <si>
    <t>https://en.wikipedia.org/wiki/James_Hogun</t>
  </si>
  <si>
    <t>James Kenan</t>
  </si>
  <si>
    <t>https://en.wikipedia.org/wiki/James_Kenan</t>
  </si>
  <si>
    <t>James Mitchell Varnum</t>
  </si>
  <si>
    <t>https://en.wikipedia.org/wiki/James_Mitchell_Varnum</t>
  </si>
  <si>
    <t>James Moore</t>
  </si>
  <si>
    <t>https://en.wikipedia.org/wiki/James_Moore_(Continental_Army_officer)</t>
  </si>
  <si>
    <t>James Nicholson</t>
  </si>
  <si>
    <t>https://en.wikipedia.org/wiki/James_Nicholson_(naval_officer)</t>
  </si>
  <si>
    <t>James Reed</t>
  </si>
  <si>
    <t>https://en.wikipedia.org/wiki/James_Reed_(soldier)</t>
  </si>
  <si>
    <t>James Wilkinson</t>
  </si>
  <si>
    <t>https://en.wikipedia.org/wiki/James_Wilkinson</t>
  </si>
  <si>
    <t>Jan Hendrik van Kinsbergen</t>
  </si>
  <si>
    <t>https://en.wikipedia.org/wiki/Jan_Hendrik_van_Kinsbergen</t>
  </si>
  <si>
    <t>Jean Baptiste Joseph</t>
  </si>
  <si>
    <t>https://en.wikipedia.org/wiki/Jean_Baptiste_Joseph,_chevalier_de_Laumoy</t>
  </si>
  <si>
    <t>Jean-Baptiste Donatien de Vimeur</t>
  </si>
  <si>
    <t>https://en.wikipedia.org/wiki/Jean-Baptiste_Donatien_de_Vimeur,_comte_de_Rochambeau</t>
  </si>
  <si>
    <t>Jedediah Huntington</t>
  </si>
  <si>
    <t>https://en.wikipedia.org/wiki/Jedediah_Huntington</t>
  </si>
  <si>
    <t>Jeffery Amherst</t>
  </si>
  <si>
    <t>https://en.wikipedia.org/wiki/Jeffery_Amherst</t>
  </si>
  <si>
    <t>Jethro Sumner</t>
  </si>
  <si>
    <t>https://en.wikipedia.org/wiki/Jethro_Sumner</t>
  </si>
  <si>
    <t>Johan Zoutman</t>
  </si>
  <si>
    <t>https://en.wikipedia.org/wiki/Johan_Zoutman</t>
  </si>
  <si>
    <t>Johann de Kalb</t>
  </si>
  <si>
    <t>https://en.wikipedia.org/wiki/Johann_de_Kalb</t>
  </si>
  <si>
    <t>Johann Rall</t>
  </si>
  <si>
    <t>https://en.wikipedia.org/wiki/Johann_Rall</t>
  </si>
  <si>
    <t>Johann von Hanxleden</t>
  </si>
  <si>
    <t>https://en.wikipedia.org/w/index.php?title=Johann_von_Hanxleden&amp;action=edit&amp;redlink=1</t>
  </si>
  <si>
    <t>Johann von Rauschenplatt</t>
  </si>
  <si>
    <t>https://en.wikipedia.org/w/index.php?title=Johann_von_Rauschenplatt&amp;action=edit&amp;redlink=1</t>
  </si>
  <si>
    <t>John Andre</t>
  </si>
  <si>
    <t>https://en.wikipedia.org/wiki/John_Andre</t>
  </si>
  <si>
    <t>John Armstrong</t>
  </si>
  <si>
    <t>https://en.wikipedia.org/wiki/John_Armstrong_Sr.</t>
  </si>
  <si>
    <t>John Ashe</t>
  </si>
  <si>
    <t>https://en.wikipedia.org/wiki/John_Ashe_(general)</t>
  </si>
  <si>
    <t>John Barnwell</t>
  </si>
  <si>
    <t>https://en.wikipedia.org/wiki/John_Barnwell_(senator)</t>
  </si>
  <si>
    <t>John Barry</t>
  </si>
  <si>
    <t>https://en.wikipedia.org/wiki/John_Barry_(naval_officer)</t>
  </si>
  <si>
    <t>John Burgoyne</t>
  </si>
  <si>
    <t>https://en.wikipedia.org/wiki/John_Burgoyne</t>
  </si>
  <si>
    <t>John Butler</t>
  </si>
  <si>
    <t>https://en.wikipedia.org/wiki/John_Butler_(general)</t>
  </si>
  <si>
    <t>John Byron</t>
  </si>
  <si>
    <t>https://en.wikipedia.org/wiki/John_Byron</t>
  </si>
  <si>
    <t>John Campbell</t>
  </si>
  <si>
    <t>https://en.wikipedia.org/wiki/John_Campbell,_of_Strachur</t>
  </si>
  <si>
    <t>John Dalling</t>
  </si>
  <si>
    <t>https://en.wikipedia.org/wiki/Sir_John_Dalling,_1st_Baronet</t>
  </si>
  <si>
    <t>John Fellows</t>
  </si>
  <si>
    <t>https://en.wikipedia.org/wiki/John_Fellows_(brigadier_general)</t>
  </si>
  <si>
    <t>John Glover</t>
  </si>
  <si>
    <t>https://en.wikipedia.org/wiki/John_Glover_(general)</t>
  </si>
  <si>
    <t>John Graves Simcoe</t>
  </si>
  <si>
    <t>https://en.wikipedia.org/wiki/John_Graves_Simcoe</t>
  </si>
  <si>
    <t>John Greaton</t>
  </si>
  <si>
    <t>https://en.wikipedia.org/w/index.php?title=John_Greaton&amp;action=edit&amp;redlink=1</t>
  </si>
  <si>
    <t>John Hazelwood</t>
  </si>
  <si>
    <t>https://en.wikipedia.org/wiki/John_Hazelwood</t>
  </si>
  <si>
    <t>John Johnson</t>
  </si>
  <si>
    <t>https://en.wikipedia.org/wiki/Sir_John_Johnson,_2nd_Baronet</t>
  </si>
  <si>
    <t>John Montagu</t>
  </si>
  <si>
    <t>https://en.wikipedia.org/wiki/John_Montagu,_4th_Earl_of_Sandwich</t>
  </si>
  <si>
    <t>John Morin Scott</t>
  </si>
  <si>
    <t>https://en.wikipedia.org/wiki/John_Morin_Scott</t>
  </si>
  <si>
    <t>John Nixon</t>
  </si>
  <si>
    <t>https://en.wikipedia.org/wiki/John_Nixon_(Continental_Army_general)</t>
  </si>
  <si>
    <t>John Paul Jones</t>
  </si>
  <si>
    <t>https://en.wikipedia.org/wiki/John_Paul_Jones</t>
  </si>
  <si>
    <t>John Philip De Haas</t>
  </si>
  <si>
    <t>https://en.wikipedia.org/w/index.php?title=John_Philip_De_Haas&amp;action=edit&amp;redlink=1</t>
  </si>
  <si>
    <t>John Pitcairn</t>
  </si>
  <si>
    <t>https://en.wikipedia.org/wiki/John_Pitcairn</t>
  </si>
  <si>
    <t>John Stark</t>
  </si>
  <si>
    <t>https://en.wikipedia.org/wiki/John_Stark</t>
  </si>
  <si>
    <t>John Stricker</t>
  </si>
  <si>
    <t>https://en.wikipedia.org/wiki/John_Stricker</t>
  </si>
  <si>
    <t>John Sullivan</t>
  </si>
  <si>
    <t>https://en.wikipedia.org/wiki/John_Sullivan_(general)</t>
  </si>
  <si>
    <t>John Thomas</t>
  </si>
  <si>
    <t>https://en.wikipedia.org/wiki/John_Thomas_(American_general)</t>
  </si>
  <si>
    <t>Jose Solano y Bote</t>
  </si>
  <si>
    <t>https://en.wikipedia.org/wiki/Jose_Solano_y_Bote</t>
  </si>
  <si>
    <t>Joseph Frye</t>
  </si>
  <si>
    <t>https://en.wikipedia.org/wiki/Joseph_Frye</t>
  </si>
  <si>
    <t>Joseph Martin</t>
  </si>
  <si>
    <t>https://en.wikipedia.org/wiki/Joseph_Martin_(general)</t>
  </si>
  <si>
    <t>Joseph Palmer</t>
  </si>
  <si>
    <t>https://en.wikipedia.org/wiki/Joseph_Palmer_(American_Revolutionary_War_general)</t>
  </si>
  <si>
    <t>Joseph Spencer</t>
  </si>
  <si>
    <t>https://en.wikipedia.org/wiki/Joseph_Spencer</t>
  </si>
  <si>
    <t>Joseph Warren</t>
  </si>
  <si>
    <t>https://en.wikipedia.org/wiki/Joseph_Warren</t>
  </si>
  <si>
    <t>Joshua Babcock</t>
  </si>
  <si>
    <t>https://en.wikipedia.org/wiki/Joshua_Babcock</t>
  </si>
  <si>
    <t>Juan de Lángara</t>
  </si>
  <si>
    <t>https://en.wikipedia.org/wiki/Juan_de_L%C3%A1ngara</t>
  </si>
  <si>
    <t>Juan Manuel Cagigal y Monserrat</t>
  </si>
  <si>
    <t>https://en.wikipedia.org/w/index.php?title=Juan_Manuel_Cagigal_y_Monserrat&amp;action=edit&amp;redlink=1</t>
  </si>
  <si>
    <t>Kazimierz Pułaski</t>
  </si>
  <si>
    <t>https://en.wikipedia.org/wiki/Kazimierz_Pu%C5%82aski</t>
  </si>
  <si>
    <t>King George III</t>
  </si>
  <si>
    <t>https://en.wikipedia.org/wiki/George_III_of_the_United_Kingdom</t>
  </si>
  <si>
    <t>King Louis XVI</t>
  </si>
  <si>
    <t>https://en.wikipedia.org/wiki/Louis_XVI_of_France</t>
  </si>
  <si>
    <t>Lachlan McIntosh</t>
  </si>
  <si>
    <t>https://en.wikipedia.org/wiki/Lachlan_McIntosh</t>
  </si>
  <si>
    <t>Leopold Philip von Heister</t>
  </si>
  <si>
    <t>https://en.wikipedia.org/wiki/Leopold_Philip_von_Heister</t>
  </si>
  <si>
    <t>Louis Antoine de Bougainville</t>
  </si>
  <si>
    <t>https://en.wikipedia.org/wiki/Louis_Antoine_de_Bougainville</t>
  </si>
  <si>
    <t>Louis des Balbes de Berton de Crillon</t>
  </si>
  <si>
    <t>https://en.wikipedia.org/wiki/Louis_des_Balbes_de_Berton_de_Crillon,_1st_Duke_of_Mah%C3%B3n</t>
  </si>
  <si>
    <t>Louis Jean Marie de Bourbon</t>
  </si>
  <si>
    <t>https://en.wikipedia.org/wiki/Louis_Jean_Marie_de_Bourbon,_Duke_of_Penthi%C3%A8vre</t>
  </si>
  <si>
    <t>Louis Lebègue Duportail</t>
  </si>
  <si>
    <t>https://en.wikipedia.org/wiki/Louis_Leb%C3%A8gue_Duportail</t>
  </si>
  <si>
    <t>Luc Urbain de Bouexic</t>
  </si>
  <si>
    <t>https://en.wikipedia.org/wiki/Luc_Urbain_de_Bouexic,_comte_de_Guichen</t>
  </si>
  <si>
    <t>Luis de Córdova y Córdova</t>
  </si>
  <si>
    <t>https://en.wikipedia.org/wiki/Luis_de_C%C3%B3rdova_y_C%C3%B3rdova</t>
  </si>
  <si>
    <t>Mariot Arbuthnot</t>
  </si>
  <si>
    <t>https://en.wikipedia.org/wiki/Mariot_Arbuthnot</t>
  </si>
  <si>
    <t>Martín Álvarez de Sotomayor</t>
  </si>
  <si>
    <t>https://en.wikipedia.org/wiki/Mart%C3%ADn_%C3%81lvarez_de_Sotomayor</t>
  </si>
  <si>
    <t>Matías de Gálvez y Gallardo</t>
  </si>
  <si>
    <t>https://en.wikipedia.org/wiki/Mat%C3%ADas_de_G%C3%A1lvez_y_Gallardo</t>
  </si>
  <si>
    <t>Matthew Locke</t>
  </si>
  <si>
    <t>https://en.wikipedia.org/wiki/Matthew_Locke_(U.S._Congress)</t>
  </si>
  <si>
    <t>Matthias Alexis Roche de Fermoy</t>
  </si>
  <si>
    <t>https://en.wikipedia.org/wiki/Matthias_Alexis_Roche_de_Fermoy</t>
  </si>
  <si>
    <t>Michael Kovats</t>
  </si>
  <si>
    <t>https://en.wikipedia.org/wiki/Michael_Kovats_de_Fabriczy</t>
  </si>
  <si>
    <t>Mordecai Gist</t>
  </si>
  <si>
    <t>https://en.wikipedia.org/wiki/Mordecai_Gist</t>
  </si>
  <si>
    <t>Moses Hazen</t>
  </si>
  <si>
    <t>https://en.wikipedia.org/wiki/Moses_Hazen</t>
  </si>
  <si>
    <t>Nathanael Greene</t>
  </si>
  <si>
    <t>https://en.wikipedia.org/wiki/Nathanael_Greene</t>
  </si>
  <si>
    <t>Nathaniel Folsom</t>
  </si>
  <si>
    <t>https://en.wikipedia.org/wiki/Nathaniel_Folsom</t>
  </si>
  <si>
    <t>Nicholas Herkimer</t>
  </si>
  <si>
    <t>https://en.wikipedia.org/wiki/Nicholas_Herkimer</t>
  </si>
  <si>
    <t>Oliver De Lancey</t>
  </si>
  <si>
    <t>https://en.wikipedia.org/wiki/Oliver_De_Lancey_Sr.</t>
  </si>
  <si>
    <t>Otho Holland Williams</t>
  </si>
  <si>
    <t>https://en.wikipedia.org/wiki/Otho_Holland_Williams</t>
  </si>
  <si>
    <t>Peleg Wadsworth</t>
  </si>
  <si>
    <t>https://en.wikipedia.org/wiki/Peleg_Wadsworth</t>
  </si>
  <si>
    <t>Philemon Dickinson</t>
  </si>
  <si>
    <t>https://en.wikipedia.org/wiki/Philemon_Dickinson</t>
  </si>
  <si>
    <t>Philip De Coudray</t>
  </si>
  <si>
    <t>https://en.wikipedia.org/wiki/Philip_De_Coudray</t>
  </si>
  <si>
    <t>Philip Schuyler</t>
  </si>
  <si>
    <t>https://en.wikipedia.org/wiki/Philip_Schuyler</t>
  </si>
  <si>
    <t>Philippe Henri</t>
  </si>
  <si>
    <t>https://en.wikipedia.org/wiki/Philippe_Henri,_marquis_de_S%C3%A9gur</t>
  </si>
  <si>
    <t>Philippe Hubert Preudhomme de Borre</t>
  </si>
  <si>
    <t>https://en.wikipedia.org/wiki/Philippe_Hubert_Preudhomme_de_Borre</t>
  </si>
  <si>
    <t>Pierre André de Suffren de Saint Tropez</t>
  </si>
  <si>
    <t>https://en.wikipedia.org/wiki/Pierre_Andr%C3%A9_de_Suffren_de_Saint_Tropez</t>
  </si>
  <si>
    <t>Reynier van Vlissingen</t>
  </si>
  <si>
    <t>https://en.wikipedia.org/w/index.php?title=Reynier_van_Vlissingen&amp;action=edit&amp;redlink=1</t>
  </si>
  <si>
    <t>Richard Caswell</t>
  </si>
  <si>
    <t>https://en.wikipedia.org/wiki/Richard_Caswell</t>
  </si>
  <si>
    <t>Richard Howe</t>
  </si>
  <si>
    <t>https://en.wikipedia.org/wiki/Richard_Howe,_1st_Earl_Howe</t>
  </si>
  <si>
    <t>Richard Montgomery</t>
  </si>
  <si>
    <t>https://en.wikipedia.org/wiki/Richard_Montgomery</t>
  </si>
  <si>
    <t>Richard Richardson</t>
  </si>
  <si>
    <t>https://en.wikipedia.org/wiki/Richard_Richardson_(general)</t>
  </si>
  <si>
    <t>Robert Boyd</t>
  </si>
  <si>
    <t>https://en.wikipedia.org/wiki/Robert_Boyd_(British_Army_officer)</t>
  </si>
  <si>
    <t>Robert Howe</t>
  </si>
  <si>
    <t>https://en.wikipedia.org/wiki/Robert_Howe_(Continental_Army_officer)</t>
  </si>
  <si>
    <t>Robert Lawson</t>
  </si>
  <si>
    <t>https://en.wikipedia.org/wiki/Robert_Lawson_(American_general)</t>
  </si>
  <si>
    <t>Rufus Putnam</t>
  </si>
  <si>
    <t>https://en.wikipedia.org/wiki/Rufus_Putnam</t>
  </si>
  <si>
    <t>Sampson Mathews</t>
  </si>
  <si>
    <t>https://en.wikipedia.org/wiki/Sampson_Mathews</t>
  </si>
  <si>
    <t>Samuel Elbert</t>
  </si>
  <si>
    <t>https://en.wikipedia.org/wiki/Samuel_Elbert</t>
  </si>
  <si>
    <t>Samuel Graves</t>
  </si>
  <si>
    <t>https://en.wikipedia.org/wiki/Samuel_Graves</t>
  </si>
  <si>
    <t>Samuel Holden Parsons</t>
  </si>
  <si>
    <t>https://en.wikipedia.org/wiki/Samuel_Holden_Parsons</t>
  </si>
  <si>
    <t>Samuel Hood</t>
  </si>
  <si>
    <t>https://en.wikipedia.org/wiki/Samuel_Hood,_1st_Viscount_Hood</t>
  </si>
  <si>
    <t>Samuel McClellan</t>
  </si>
  <si>
    <t>https://en.wikipedia.org/wiki/Samuel_McClellan</t>
  </si>
  <si>
    <t>Samuel Meredith</t>
  </si>
  <si>
    <t>https://en.wikipedia.org/wiki/Samuel_Meredith</t>
  </si>
  <si>
    <t>Samuel Miles</t>
  </si>
  <si>
    <t>https://en.wikipedia.org/wiki/Samuel_Miles</t>
  </si>
  <si>
    <t>Seth Warner</t>
  </si>
  <si>
    <t>https://en.wikipedia.org/wiki/Seth_Warner</t>
  </si>
  <si>
    <t>Simon Fraser</t>
  </si>
  <si>
    <t>https://en.wikipedia.org/wiki/Simon_Fraser_of_Balnain</t>
  </si>
  <si>
    <t>Tadeusz Kościuszko</t>
  </si>
  <si>
    <t>https://en.wikipedia.org/wiki/Tadeusz_Ko%C5%9Bciuszko</t>
  </si>
  <si>
    <t>Thomas Collins</t>
  </si>
  <si>
    <t>https://en.wikipedia.org/wiki/Thomas_Collins_(governor)</t>
  </si>
  <si>
    <t>Thomas Conway</t>
  </si>
  <si>
    <t>https://en.wikipedia.org/wiki/Thomas_Conway</t>
  </si>
  <si>
    <t>Thomas d'Estienne d'Orves</t>
  </si>
  <si>
    <t>https://en.wikipedia.org/wiki/Thomas_d%27Estienne_d%27Orves</t>
  </si>
  <si>
    <t>Thomas Eaton</t>
  </si>
  <si>
    <t>https://en.wikipedia.org/wiki/Thomas_Eaton_(general)</t>
  </si>
  <si>
    <t>Thomas Gage</t>
  </si>
  <si>
    <t>https://en.wikipedia.org/wiki/Thomas_Gage</t>
  </si>
  <si>
    <t>Thomas Graves</t>
  </si>
  <si>
    <t>https://en.wikipedia.org/wiki/Thomas_Graves,_1st_Baron_Graves</t>
  </si>
  <si>
    <t>Thomas Johnson</t>
  </si>
  <si>
    <t>https://en.wikipedia.org/wiki/Thomas_Johnson_(jurist)</t>
  </si>
  <si>
    <t>Thomas Mifflin</t>
  </si>
  <si>
    <t>https://en.wikipedia.org/wiki/Thomas_Mifflin</t>
  </si>
  <si>
    <t>Thomas Person</t>
  </si>
  <si>
    <t>https://en.wikipedia.org/wiki/Thomas_Person</t>
  </si>
  <si>
    <t>Thomas Preston</t>
  </si>
  <si>
    <t>https://en.wikipedia.org/wiki/Thomas_Preston_(British_Army_officer)</t>
  </si>
  <si>
    <t>Thomas Sumter</t>
  </si>
  <si>
    <t>https://en.wikipedia.org/wiki/Thomas_Sumter</t>
  </si>
  <si>
    <t>Timothy Danielson</t>
  </si>
  <si>
    <t>https://en.wikipedia.org/wiki/Timothy_Danielson</t>
  </si>
  <si>
    <t>Toussaint-Guillaume Picquet de la Motte</t>
  </si>
  <si>
    <t>https://en.wikipedia.org/wiki/Toussaint-Guillaume_Picquet_de_la_Motte</t>
  </si>
  <si>
    <t>Wilhelm von Gall</t>
  </si>
  <si>
    <t>https://en.wikipedia.org/w/index.php?title=Wilhelm_von_Gall&amp;action=edit&amp;redlink=1</t>
  </si>
  <si>
    <t>Wilhelm von Knyphausen</t>
  </si>
  <si>
    <t>https://en.wikipedia.org/wiki/Wilhelm_von_Knyphausen</t>
  </si>
  <si>
    <t>William Alexander</t>
  </si>
  <si>
    <t>https://en.wikipedia.org/wiki/William_Alexander,_Lord_Stirling</t>
  </si>
  <si>
    <t>William Bryan</t>
  </si>
  <si>
    <t>https://en.wikipedia.org/wiki/William_Bryan_(North_Carolina_politician)</t>
  </si>
  <si>
    <t>William Caswell</t>
  </si>
  <si>
    <t>https://en.wikipedia.org/wiki/William_Caswell_(politician)</t>
  </si>
  <si>
    <t>William Dalrymple</t>
  </si>
  <si>
    <t>https://en.wikipedia.org/wiki/William_Dalrymple_(general)</t>
  </si>
  <si>
    <t>William Erskine</t>
  </si>
  <si>
    <t>https://en.wikipedia.org/wiki/William_Erskine_(General)</t>
  </si>
  <si>
    <t>William Fawcett</t>
  </si>
  <si>
    <t>https://en.wikipedia.org/wiki/William_Fawcett_(British_Army_officer)</t>
  </si>
  <si>
    <t>William Green</t>
  </si>
  <si>
    <t>https://en.wikipedia.org/wiki/William_Green_(general)</t>
  </si>
  <si>
    <t>William Heath</t>
  </si>
  <si>
    <t>https://en.wikipedia.org/wiki/William_Heath</t>
  </si>
  <si>
    <t>William Howe</t>
  </si>
  <si>
    <t>https://en.wikipedia.org/wiki/William_Howe,_5th_Viscount_Howe</t>
  </si>
  <si>
    <t>William Irvine</t>
  </si>
  <si>
    <t>https://en.wikipedia.org/wiki/William_Irvine_(general)</t>
  </si>
  <si>
    <t>William Lee Davidson</t>
  </si>
  <si>
    <t>https://en.wikipedia.org/wiki/William_Lee_Davidson</t>
  </si>
  <si>
    <t>William Maxwell</t>
  </si>
  <si>
    <t>https://en.wikipedia.org/wiki/William_Maxwell_(Continental_Army_general)</t>
  </si>
  <si>
    <t>William Medows</t>
  </si>
  <si>
    <t>https://en.wikipedia.org/wiki/William_Medows</t>
  </si>
  <si>
    <t>William Moultrie</t>
  </si>
  <si>
    <t>https://en.wikipedia.org/wiki/William_Moultrie</t>
  </si>
  <si>
    <t>William Petty</t>
  </si>
  <si>
    <t>https://en.wikipedia.org/wiki/William_Petty,_2nd_Earl_of_Shelburne</t>
  </si>
  <si>
    <t>William Phillips</t>
  </si>
  <si>
    <t>https://en.wikipedia.org/wiki/William_Phillips_(British_Army_officer)</t>
  </si>
  <si>
    <t>William Picton</t>
  </si>
  <si>
    <t>https://en.wikipedia.org/w/index.php?title=William_Picton&amp;action=edit&amp;redlink=1</t>
  </si>
  <si>
    <t>William Skinner</t>
  </si>
  <si>
    <t>https://en.wikipedia.org/wiki/William_Skinner_(North_Carolina_general)</t>
  </si>
  <si>
    <t>William Smallwood</t>
  </si>
  <si>
    <t>https://en.wikipedia.org/wiki/William_Smallwood</t>
  </si>
  <si>
    <t>William Thompson</t>
  </si>
  <si>
    <t>https://en.wikipedia.org/wiki/William_Thompson_(general)</t>
  </si>
  <si>
    <t>William West</t>
  </si>
  <si>
    <t>https://en.wikipedia.org/wiki/William_West_(Rhode_Island_politician)</t>
  </si>
  <si>
    <t>William Whipple</t>
  </si>
  <si>
    <t>https://en.wikipedia.org/wiki/William_Whipple</t>
  </si>
  <si>
    <t>William Wildman Shute Barrington</t>
  </si>
  <si>
    <t>https://en.wikipedia.org/wiki/William_Wildman_Shute_Barrington,_2nd_Viscount_Barrington</t>
  </si>
  <si>
    <t>William Woodford</t>
  </si>
  <si>
    <t>https://en.wikipedia.org/wiki/William_Woodford</t>
  </si>
  <si>
    <t>person</t>
  </si>
  <si>
    <t>link</t>
  </si>
  <si>
    <t>birth</t>
  </si>
  <si>
    <t>death</t>
  </si>
  <si>
    <t>blurb</t>
  </si>
  <si>
    <t>Jump to content</t>
  </si>
  <si>
    <t>Main menu</t>
  </si>
  <si>
    <t>move to sidebar hide</t>
  </si>
  <si>
    <t>Navigation</t>
  </si>
  <si>
    <t>Main page</t>
  </si>
  <si>
    <t>Contents</t>
  </si>
  <si>
    <t>Current events</t>
  </si>
  <si>
    <t>Random article</t>
  </si>
  <si>
    <t>About Wikipedia</t>
  </si>
  <si>
    <t>Contact us</t>
  </si>
  <si>
    <t>Donate</t>
  </si>
  <si>
    <t>Contribute</t>
  </si>
  <si>
    <t>Help</t>
  </si>
  <si>
    <t>Learn to edit</t>
  </si>
  <si>
    <t>Community portal</t>
  </si>
  <si>
    <t>Recent changes</t>
  </si>
  <si>
    <t>Upload file</t>
  </si>
  <si>
    <t>Languages</t>
  </si>
  <si>
    <t>Language links are at the top of the page across from the title.</t>
  </si>
  <si>
    <t>WikipediaThe Free Encyclopedia</t>
  </si>
  <si>
    <t xml:space="preserve">Search </t>
  </si>
  <si>
    <t>Create account</t>
  </si>
  <si>
    <t>Log in</t>
  </si>
  <si>
    <t>Personal tools</t>
  </si>
  <si>
    <t>Pages for logged out editors learn more</t>
  </si>
  <si>
    <t>Contributions</t>
  </si>
  <si>
    <t>Talk</t>
  </si>
  <si>
    <t>(Top)</t>
  </si>
  <si>
    <t>1War of the Austrian Succession</t>
  </si>
  <si>
    <t>2American Revolution</t>
  </si>
  <si>
    <t>Toggle American Revolution subsection</t>
  </si>
  <si>
    <t>2.1Penobscot Expedition</t>
  </si>
  <si>
    <t>3See also</t>
  </si>
  <si>
    <t>4References</t>
  </si>
  <si>
    <t>5Further reading</t>
  </si>
  <si>
    <t>Toggle the table of contents</t>
  </si>
  <si>
    <t>Francis McLean (British Army officer)</t>
  </si>
  <si>
    <t>Add languages</t>
  </si>
  <si>
    <t>Add links</t>
  </si>
  <si>
    <t>Article</t>
  </si>
  <si>
    <t>English</t>
  </si>
  <si>
    <t>Read</t>
  </si>
  <si>
    <t>Edit</t>
  </si>
  <si>
    <t>View history</t>
  </si>
  <si>
    <t>Tools</t>
  </si>
  <si>
    <t>Actions</t>
  </si>
  <si>
    <t>General</t>
  </si>
  <si>
    <t>What links here</t>
  </si>
  <si>
    <t>Related changes</t>
  </si>
  <si>
    <t>Special pages</t>
  </si>
  <si>
    <t>Permanent link</t>
  </si>
  <si>
    <t>Page information</t>
  </si>
  <si>
    <t>Cite this page</t>
  </si>
  <si>
    <t>Wikidata item</t>
  </si>
  <si>
    <t>Print/export</t>
  </si>
  <si>
    <t>Download as PDF</t>
  </si>
  <si>
    <t>Printable version</t>
  </si>
  <si>
    <t>From Wikipedia, the free encyclopedia</t>
  </si>
  <si>
    <t>British Army general</t>
  </si>
  <si>
    <t>Francis McLean Plaque, St. Paul's Church (Halifax), Nova Scotia</t>
  </si>
  <si>
    <t>Francis McLean's hatchment, St Pauls Church, Halifax, Nova Scotia</t>
  </si>
  <si>
    <t>War of the Austrian Succession[edit]</t>
  </si>
  <si>
    <t>During the War of the Austrian Succession, Francis McLean served with his more famous kinsman Allan Maclean of Torloisk in the Scots brigade in the Dutch service and was captured at Bergen op Zoom (Netherlands) in 1747, where Mar飨al Lowendahl, the French commander, praised him for his bravery. In October 1758 McLean joined the British army as a captain in the 2nd battalion, 42nd Foot, and was wounded in the capture of Guadeloupe in 1759. He exchanged into the 97th Foot in 1761, became lieutenant-colonel in 1762. From 1762 to 1778 he was in the Portuguese service, attaining the rank of major-general and appointment to the government of Lisbon. At the same time he dabbled in real estate in North America. He acquired a lot on St John's (Prince Edward) Island and in 1773 was among several petitioners for 250,000 acres in upper New York.</t>
  </si>
  <si>
    <t>American Revolution[edit]</t>
  </si>
  <si>
    <t>In 1777 the 82nd Foot was raised for service in the North American British colonies and Francis McLean was its lieutenant-colonel. He sailed with the regiment for Nova Scotia in spring 1778 and arrived in September. He replaced Major-General Eyre Massey as military commander at Halifax and was appointed to the local rank of brigadier in Nova Scotia by Sir Henry Clinton, the commander-in-chief in North America. McLean was also responsible to Clinton for overseeing Indian affairs and looking after arriving loyalists.</t>
  </si>
  <si>
    <t>Penobscot Expedition[edit]</t>
  </si>
  <si>
    <t>Britain defending New Ireland from the Penobscot Expedition during the American Revolution by Dominic Serres</t>
  </si>
  <si>
    <t>On 16 June 1779, under Clinton's orders, McLean took an expedition of about 650 men and several ships to Fort Majebigwaduce (Castine, Maine) to find a refuge for loyalists and to forestall an anticipated attack on Nova Scotia by troops from New England. From 25 July an American force of between 2,000 and 3,000 soldiers and sailors in some 40 vessels under the command of Solomon Lovell and Dudley Saltonstall besieged him there. McLean faced desperate odds and prepared to surrender his forces after putting up a respectable fight. His fortifications, especially the newly established Fort George, were under construction and weak. The American commanders disagreed on how the siege should proceed and many of their ground troops were too inexperienced to follow up on small tactical victories. McLean resolved to stand his ground when the American forces failed to attack the British fleet or Fort George and he sent for help. A gale drove back one relief force from Halifax, but Sir George Collier sailed from Sandy Hook, New Jersey on 3 August and engaged the Americans on the 14th, routing them completely. This defeat was one of the most embarrassing American defeats of the war; they retreated up the Penobscot and burned most of their fleet to prevent capture.[2] McLean's casualties were light. He returned to Halifax in the late fall.</t>
  </si>
  <si>
    <t>McLean was viewed by his contemporaries as a brave and resolute soldier.[3] John Moore, later a famous general, served as a subaltern under him at Majebigwaduce.[4]</t>
  </si>
  <si>
    <t>As an administrator, some found McLean controversial. Superintendent of Indian Affairs Michael Francklin stated that in 1781 McLean refused to release trade goods to him without explicit instructions from Clinton. However, until the fall of 1779 the government had allowed Francklin to draw all provisions from military stores, but in 1780 he was required to obtain the permission of the commander-in-chief. Another contemporary, the Reverend Jacob Bailey, asserted that McLean arbitrarily took rations away from 200 or 300 loyalist refugees, allowing them to only about 20 people. But Clinton checked McLean's expenditures on loyalists closely and at the same time approved heartily some of McLean's administrative arrangements, such as the establishment of regimental hospitals.</t>
  </si>
  <si>
    <t>McLean grew visibly ill during the winter of 178081, and died on 4 May 1781 at Halifax, where he was buried two days later.[5]</t>
  </si>
  <si>
    <t>See also[edit]</t>
  </si>
  <si>
    <t>Nova Scotia in the American Revolution</t>
  </si>
  <si>
    <t>Military history of Nova Scotia</t>
  </si>
  <si>
    <t>Benjamin Milliken</t>
  </si>
  <si>
    <t>John Moore</t>
  </si>
  <si>
    <t>References[edit]</t>
  </si>
  <si>
    <t>1. ^ Donald F MacLean, "MacLean Hatchment Brigadier General Francis McLean (17171781)," in Clan MacLean Atlantic Canada website</t>
  </si>
  <si>
    <t>2. ^ "Sir George Collier's Account of Penobscot" London Gazette, Extraordinary Edition, September 24, 1779</t>
  </si>
  <si>
    <t>3. ^ "Biography McLEAN, FRANCIS Volume IV (1771-1800) Dictionary of Canadian Biography". www.biographi.ca. Retrieved 23 August 2021.</t>
  </si>
  <si>
    <t>4. ^ Chichester, Henry Manners (1894). "Moore, John (1761-1809)" . Dictionary of National Biography. Vol. 38. pp. 366372.</t>
  </si>
  <si>
    <t>5. ^ HighBeam</t>
  </si>
  <si>
    <t>Texts</t>
  </si>
  <si>
    <t>Dictionary of Canadian Biography</t>
  </si>
  <si>
    <t>History of the Hamilton Regiment</t>
  </si>
  <si>
    <t>Francis McLean Military Papers, Maine Archives</t>
  </si>
  <si>
    <t>Further reading[edit]</t>
  </si>
  <si>
    <t>Cornwell, Bernard (2010). The Fort. New York: HarperCollins. ISBN 9780007331727. Retrieved 1 September 2018. A historical novel depicting the Penobscot Expedition, with a non-fiction "Historical Note" (pp. 451468) on sources and key details.</t>
  </si>
  <si>
    <t>"A Naval Disaster: The Penobscot Expedition," in Maine History Online</t>
  </si>
  <si>
    <t>"The Worst U.S. Naval Disaster You've Never Heard Of," November 20, 2010, in the National Public Radio website</t>
  </si>
  <si>
    <t>Authority control Edit this at Wikidata</t>
  </si>
  <si>
    <t>International</t>
  </si>
  <si>
    <t>FAST</t>
  </si>
  <si>
    <t>VIAF</t>
  </si>
  <si>
    <t>WorldCat</t>
  </si>
  <si>
    <t>National</t>
  </si>
  <si>
    <t>United States</t>
  </si>
  <si>
    <t>Retrieved from "https://en.wikipedia.org/w/index.php?title=Francis_McLean_(British_Army_officer)&amp;oldid=1156613369"</t>
  </si>
  <si>
    <t>Categories:</t>
  </si>
  <si>
    <t>1781 deaths</t>
  </si>
  <si>
    <t>British Army generals</t>
  </si>
  <si>
    <t>British Army personnel of the American Revolutionary War</t>
  </si>
  <si>
    <t>42nd Regiment of Foot officers</t>
  </si>
  <si>
    <t>Queen's Own Royal West Kent Regiment officers</t>
  </si>
  <si>
    <t>Portuguese generals</t>
  </si>
  <si>
    <t>Dutch military personnel of the War of the Austrian Succession</t>
  </si>
  <si>
    <t>Hidden categories:</t>
  </si>
  <si>
    <t>Articles incorporating Cite DNB template</t>
  </si>
  <si>
    <t>Articles with short description</t>
  </si>
  <si>
    <t>Short description matches Wikidata</t>
  </si>
  <si>
    <t>Use dmy dates from April 2022</t>
  </si>
  <si>
    <t>Articles with FAST identifiers</t>
  </si>
  <si>
    <t>Articles with VIAF identifiers</t>
  </si>
  <si>
    <t>Articles with WorldCat identifiers</t>
  </si>
  <si>
    <t>Articles with LCCN identifiers</t>
  </si>
  <si>
    <t>Year of birth uncertain</t>
  </si>
  <si>
    <t>This page was last edited on 23 May 2023, at 19:02 (UTC).</t>
  </si>
  <si>
    <t>Text is available under the Creative Commons Attribution-ShareAlike License 3.0; additional terms may apply. By using this site, you agree to the Terms of Use and Privacy Policy. Wikipedia is a registered trademark of the Wikimedia Foundation, Inc., a non-profit organization.</t>
  </si>
  <si>
    <t>Privacy policy</t>
  </si>
  <si>
    <t>Disclaimers</t>
  </si>
  <si>
    <t>Contact Wikipedia</t>
  </si>
  <si>
    <t>Mobile view</t>
  </si>
  <si>
    <t>Developers</t>
  </si>
  <si>
    <t>Statistics</t>
  </si>
  <si>
    <t>Cookie statement</t>
  </si>
  <si>
    <t>Wikimedia Foundation</t>
  </si>
  <si>
    <t>Powered by MediaWiki</t>
  </si>
  <si>
    <t>Toggle limited content width</t>
  </si>
  <si>
    <t>Brigadier General Francis McLean (c.1717 4 May 1781) was a British army officer, one of two sons of Captain William Maclean and Anne Kinloch. He became famous for defending New Ireland (Maine) against the Penobscot Expedition during the American Revolution. The defeat of the Expedition was a noted British victory of the American Revolution. He was in command of the 74th Regiment of (Highland) Foot and 82nd Regiment of Foot (1778). He died 4 May 1781 at Halifax, Nova Scotia and is buried in the crypt of St. Paul's Church (Halifax).</t>
  </si>
  <si>
    <t>place</t>
  </si>
  <si>
    <t>September 26, 1733</t>
  </si>
  <si>
    <t>Providence, Colony of Rhode Island</t>
  </si>
  <si>
    <t>May 27, 1819</t>
  </si>
  <si>
    <t>Marietta, Ohio</t>
  </si>
  <si>
    <t>Commander Abraham Whipple (September 26, 1733 – May 27, 1819) was an American naval officer best known for his service in the Continental Navy during the Revolutionary War and being one of the founders of Marietta, Ohio. Born near Providence, Colony of Rhode Island, Whipple chose to be a seafarer early in his life and embarked on a career in the lucrative trade with the West Indies, working for Moses and John Brown. In the French and Indian War period, he became a privateersman and commanded privateer Game Cock from 1759 to 1760. In one six-month cruise, he captured 23 French ships.</t>
  </si>
  <si>
    <t>Scotland</t>
  </si>
  <si>
    <t>July 16, 1791</t>
  </si>
  <si>
    <t>Martinsburg, Virginia</t>
  </si>
  <si>
    <t>27 December 1794</t>
  </si>
  <si>
    <t>Beechwood House</t>
  </si>
  <si>
    <t>The Honourable Major General Alexander Leslie (1731 – 27 December 1794) was a major general in the British Army during the American Revolutionary War. He was the commander of the British troops at the Battle of Harlem Heights. He replaced Cornwallis as commander in the South in 1782.</t>
  </si>
  <si>
    <t>Beaufort Precinct, Province of North Carolina</t>
  </si>
  <si>
    <t>April 1786</t>
  </si>
  <si>
    <t>New Hanover County, North Carolina</t>
  </si>
  <si>
    <t>Kildalton, Scotland</t>
  </si>
  <si>
    <t>9 June, 1786</t>
  </si>
  <si>
    <t>New York, New York, U.S.</t>
  </si>
  <si>
    <t xml:space="preserve">	November 26, 1744</t>
  </si>
  <si>
    <t>Lancaster County, Province of Pennsylvania, British America</t>
  </si>
  <si>
    <t xml:space="preserve">	July 5, 1795</t>
  </si>
  <si>
    <t>Hawfields, North Carolina, U.S.</t>
  </si>
  <si>
    <t>Alexander Mebane, Jr. (November 26, 1744 – July 5, 1795) was a U.S. Congressman from the state of North Carolina from 1793 to 1795. He was also a brigadier general in the North Carolina militia during the Revolutionary War.</t>
  </si>
  <si>
    <t>20 April 1732</t>
  </si>
  <si>
    <t>Besançon</t>
  </si>
  <si>
    <t xml:space="preserve">	5 May 1796</t>
  </si>
  <si>
    <t>Alexandre Marie Eleonor of Saint-Mauris, count of Montbarrey, then prince of Montbarrey and Prince of the Holy Roman Empire (1774), grandee of Spain of first class (1780), knight of the Holy Spirit, lieutenant general (1780).</t>
  </si>
  <si>
    <t>December 24, 173</t>
  </si>
  <si>
    <t>Edgecombe County, North Carolina</t>
  </si>
  <si>
    <t>November 10, 1798</t>
  </si>
  <si>
    <t>Northampton County, North Carolina</t>
  </si>
  <si>
    <t>Allen Jones (December 24, 1739 – November 10, 1798) was an American planter, American Revolution brigadier general of the Halifax District Brigade, and statesman from Edgecombe County, North Carolina.</t>
  </si>
  <si>
    <t>Ireland</t>
  </si>
  <si>
    <t>June 29, 1805</t>
  </si>
  <si>
    <t>Chatham County, North Carolina</t>
  </si>
  <si>
    <t>Ambrose Ramsey (died June 29, 1805) was native of Ireland, a member of the North Carolina senate eleven times, a large land holder and pioneer in Chatham County, North Carolina, Colonel and commander of the Chatham County Regiment of the North Carolina militia during the Revolutionary War from 1775-1783. He served as acting commander of the Salisbury District Brigade in 1781. He was captured by the British Loyalists at the Chatham Courthouse on July 17, 1781 and released on parole later in 1781. After the war, he was selected as brigadier general in charge of the Hillsborough District Brigade</t>
  </si>
  <si>
    <t>October 9, 1720</t>
  </si>
  <si>
    <t>County Donegal, Ireland</t>
  </si>
  <si>
    <t>September 26, 1781</t>
  </si>
  <si>
    <t>Bedford County, Virginia, US</t>
  </si>
  <si>
    <t>September 13, 1739</t>
  </si>
  <si>
    <t>Bucks County, Province of Pennsylvania, British America</t>
  </si>
  <si>
    <t>August 11, 1817</t>
  </si>
  <si>
    <t>Tamassee, South Carolina, U.S.</t>
  </si>
  <si>
    <t>Pickens was born in 1739 in Bucks County in the Province of Pennsylvania. He was the son of Scots-Irish immigrants, Presbyterians of primarily Scottish ancestry from Carrickfergus in County Antrim, Ireland (in what is today Northern Ireland.) His parents were Andrew Pickens Sr. and Anne (née Davis). But his paternal great-grandparents were ethnic French Huguenots: Robert Andrew Pickens (Robert André Picon) had migrated to England and Northern Ireland; his wife Esther-Jeanne, widow Bonneau, was from La Rochelle, France and had settled in South Carolina along with other Huguenot refugees fleeing religious persecution as Protestants.</t>
  </si>
  <si>
    <t>January 1, 1745</t>
  </si>
  <si>
    <t>Easttown Township, Province of Pennsylvania, British America</t>
  </si>
  <si>
    <t>December 15, 1796</t>
  </si>
  <si>
    <t>Fort Presque Isle, Erie, Pennsylvania, U.S.</t>
  </si>
  <si>
    <t xml:space="preserve">	12 July 1729 </t>
  </si>
  <si>
    <t>7 September 1801</t>
  </si>
  <si>
    <t>Antoine Raymond Jean Gualbert Gabriel de Sartine, comte d'Alby (12 July 1729 – 7 September 1801) was a French statesman who served as Lieutenant General of Police of Paris (1759–1774) during the reign of Louis XV and as Secretary of State for the Navy (1774–1780) under King Louis XVI.</t>
  </si>
  <si>
    <t>1 January 1717</t>
  </si>
  <si>
    <t>30 January 1797</t>
  </si>
  <si>
    <t>Palma, Majorca</t>
  </si>
  <si>
    <t>21 August 1739</t>
  </si>
  <si>
    <t>Inveraray, Scotland</t>
  </si>
  <si>
    <t>31 March 1791</t>
  </si>
  <si>
    <t>London</t>
  </si>
  <si>
    <t>Sir Archibald Campbell KB (21 August 1739 – 31 March 1791) served as governor of Georgia, Jamaica, and Madras. He was a major Scottish landowner, Heritable Usher of the White Rod for Scotland and politician who sat in the House of Commons between 1774 and 1791.</t>
  </si>
  <si>
    <t>13 April 1747</t>
  </si>
  <si>
    <t>Paris, Kingdom of France</t>
  </si>
  <si>
    <t>Paris, French First Republic</t>
  </si>
  <si>
    <t>November 26, 1727</t>
  </si>
  <si>
    <t>Shrewsbury, Province of Massachusetts Bay, British America</t>
  </si>
  <si>
    <t>October 28, 1800</t>
  </si>
  <si>
    <t>Shrewsbury, Massachusetts, U.S.</t>
  </si>
  <si>
    <t>March 23, 1737</t>
  </si>
  <si>
    <t>Thurso, Caithness, Scotland, Great Britain</t>
  </si>
  <si>
    <t xml:space="preserve">	August 31, 1818</t>
  </si>
  <si>
    <t>Greensburg, Pennsylvania, U.S.</t>
  </si>
  <si>
    <t>November 17, 1713</t>
  </si>
  <si>
    <t xml:space="preserve">	August 29, 1788</t>
  </si>
  <si>
    <t>22 August 1723</t>
  </si>
  <si>
    <t xml:space="preserve">	5 May 1786</t>
  </si>
  <si>
    <t>21 August 1754</t>
  </si>
  <si>
    <t>Liverpool, Lancashire, England</t>
  </si>
  <si>
    <t>15 January 1833</t>
  </si>
  <si>
    <t>Leintwardine, Herefordshire, England</t>
  </si>
  <si>
    <t>January 14, 1741</t>
  </si>
  <si>
    <t>Norwich, Connecticut</t>
  </si>
  <si>
    <t>June 14, 1801</t>
  </si>
  <si>
    <t>January 24, 1733</t>
  </si>
  <si>
    <t>Hingham, Massachusetts Bay, British America</t>
  </si>
  <si>
    <t xml:space="preserve">	May 9, 1810</t>
  </si>
  <si>
    <t>Hingham, Massachusetts, U.S.</t>
  </si>
  <si>
    <t>23 July 1746</t>
  </si>
  <si>
    <t>Macharaviaya, Spain</t>
  </si>
  <si>
    <t xml:space="preserve">	30 November 1786</t>
  </si>
  <si>
    <t>Tacubaya District, Mexico City, New Spain</t>
  </si>
  <si>
    <t>Bonaventura Moreno was a rear admiral of the Spanish Navy. In 1781, he blockaded the British-held island of Menorca and soon took part in the Great Siege of Gibraltar as commander of the floating batteries. However, the Spanish and French forces were repulsed and the siege was a costly defeat for the allies.</t>
  </si>
  <si>
    <t>4 February 1764</t>
  </si>
  <si>
    <t>Doetinchem, Dutch Republic</t>
  </si>
  <si>
    <t>25 October 1845</t>
  </si>
  <si>
    <t>Carel Hendrik Ver Huell (4 February 1764 – 25 October 1845) was a Dutch naval officer and statesman. He married Maria Johanna de Bruyn on 22 February 1789 at Hummelo, and had three sons with her.</t>
  </si>
  <si>
    <t>April 13, 1751</t>
  </si>
  <si>
    <t>Fougères, Brittany, France</t>
  </si>
  <si>
    <t>January 30, 1793</t>
  </si>
  <si>
    <t>Lamballe</t>
  </si>
  <si>
    <t>31 December 1738</t>
  </si>
  <si>
    <t>Mayfair, London, England</t>
  </si>
  <si>
    <t xml:space="preserve">	5 October 1805</t>
  </si>
  <si>
    <t>Charles Cornwallis, 1st Marquess Cornwallis, KG, PC (31 December 1738 – 5 October 1805), styled Viscount Brome between 1753 and 1762 and known as the Earl Cornwallis between 1762 and 1792, was a British Army general and official. In the United States and the United Kingdom, he is best remembered as one of the leading British generals in the American War of Independence. His surrender in 1781 to a combined American and French force at the siege of Yorktown ended significant hostilities in North America. He later served as a civil and military governor in Ireland, where he helped bring about the Act of Union; and in India, where he helped enact the Cornwallis Code and the Permanent Settlement.</t>
  </si>
  <si>
    <t>Carr, Perthshire, Scotland</t>
  </si>
  <si>
    <t>17 March 1789</t>
  </si>
  <si>
    <t>Rear Admiral Sir Charles Douglas, 1st Baronet (1727 – 17 March 1789) was a descendant of the Earls of Morton and a distinguished British naval officer. He is particularly known for his part in the Battle of the Saintes during the American War of Independence where he helped pioneer the tactic of "breaking the line".</t>
  </si>
  <si>
    <t xml:space="preserve">	22 August 1734</t>
  </si>
  <si>
    <t>Ruppes, France</t>
  </si>
  <si>
    <t>5 March 1827</t>
  </si>
  <si>
    <t>25 February 1727</t>
  </si>
  <si>
    <t>11 January 1801</t>
  </si>
  <si>
    <t>Wolfenbüttel</t>
  </si>
  <si>
    <t>Charles Eugène Gabriel de La Croix de Castries, marquis de Castries, baron des États de Languedoc, comte de Charlus, baron de Castelnau et de Montjouvent, seigneur de Puylaurens et de Lézignan (25 February 1727, Paris – 11 January 1801, Wolfenbüttel) was a French marshal. He was the son of Joseph François de La Croix de Castries, marquis de Castries, and his second wife, Marie-Françoise de Lévis de Charlus.</t>
  </si>
  <si>
    <t>29 December 1719</t>
  </si>
  <si>
    <t>Dijon, France</t>
  </si>
  <si>
    <t>13 February 1787</t>
  </si>
  <si>
    <t>Versailles, France</t>
  </si>
  <si>
    <t>Northumberland, Great Britain</t>
  </si>
  <si>
    <t>14 November 1807</t>
  </si>
  <si>
    <t>Charles Grey, 1st Earl Grey, KB, PC (circa 23 October 1729 – 14 November 1807) was a British Army general in the 18th century and a scion of the noble House of Grey. He was a distinguished soldier in a generation of exceptionally capable military personnel, serving crucially in the Seven Years' War (1756–1763), the American Revolutionary War and the French Revolutionary Wars.</t>
  </si>
  <si>
    <t>24 November 1729</t>
  </si>
  <si>
    <t>Château de Ravel, Auvergne</t>
  </si>
  <si>
    <t>28 April 1794</t>
  </si>
  <si>
    <t>Paris</t>
  </si>
  <si>
    <t>Jean Baptiste Charles Henri Hector, comte d'Estaing (24 November 1729 – 28 April 1794) was a French general and admiral. He began his service as a soldier in the War of the Austrian Succession, briefly spending time as a prisoner of war of the British during the Seven Years' War. Naval exploits during the latter war prompted him to change branches of service, and he transferred to the French Navy.</t>
  </si>
  <si>
    <t>26 April 1729</t>
  </si>
  <si>
    <t>Oxfordshire, England</t>
  </si>
  <si>
    <t>17 December 1808</t>
  </si>
  <si>
    <t>Charles Jenkinson, 1st Earl of Liverpool, PC (26 April 1729 – 17 December 1808), known as Lord Hawkesbury between 1786 and 1796, was a British statesman. He was the father of Prime Minister Robert Jenkinson, 2nd Earl of Liverpool.</t>
  </si>
  <si>
    <t>January 7, 1785</t>
  </si>
  <si>
    <t>Pondicherry, French India, Kingdom of France</t>
  </si>
  <si>
    <t xml:space="preserve">	6 February 1732</t>
  </si>
  <si>
    <t>Darnhall, Cheshire, England</t>
  </si>
  <si>
    <t xml:space="preserve">	2 October 1782</t>
  </si>
  <si>
    <t>Philadelphia, Pennsylvania, U.S.</t>
  </si>
  <si>
    <t>Oct 18, 1743</t>
  </si>
  <si>
    <t>Winchester, Virginia</t>
  </si>
  <si>
    <t xml:space="preserve">	March 31, 1815</t>
  </si>
  <si>
    <t>Burke County, North Carolina, US</t>
  </si>
  <si>
    <t>7 October 1727</t>
  </si>
  <si>
    <t>Luçon, Vendée, Kingdom of France</t>
  </si>
  <si>
    <t xml:space="preserve">	23 December 1793</t>
  </si>
  <si>
    <t>Prinquiau, French First Republic</t>
  </si>
  <si>
    <t>Charles René Dominique Sochet, Chevalier Destouches, also often spelled Des Touches, (7 October 1727 – 23 December 1793) was a Chef d'Escadre in the French Navy. He is most widely known for his participation in the War of American Independence, where he saw action in the Battle of Cape Henry in 1781 and in the Battle of the Saintes in 1782.</t>
  </si>
  <si>
    <t xml:space="preserve">	April 1739</t>
  </si>
  <si>
    <t>Goochland County, Colony of Virginia</t>
  </si>
  <si>
    <t xml:space="preserve">	October 22, 1813</t>
  </si>
  <si>
    <t>Clark County, Kentucky, U.S.</t>
  </si>
  <si>
    <t>Charles Scott (April 1739 – October 22, 1813) was an American military officer and politician who served as the governor of Kentucky from 1808 to 1812. Orphaned in his teens, Scott enlisted in the Virginia Regiment in October 1755 and served as a scout and escort during the French and Indian War. He quickly rose through the ranks to become a captain. After the war, he married and engaged in agricultural pursuits on land left to him by his father, but he returned to active military service in 1775 as the American Revolution began to grow in intensity. In August 1776, he was promoted to colonel and given command of the 5th Virginia Regiment. The 5th Virginia joined George Washington in New Jersey later that year, serving with him for the duration of the Philadelphia campaign. Scott commanded Washington's light infantry, and by late 1778 was also serving as his chief of intelligence. Furloughed at the end of the Philadelphia campaign, Scott returned to active service in March 1779 and was ordered to South Carolina to assist General Benjamin Lincoln in the southern theater. He arrived in Charleston, South Carolina, just as Henry Clinton had begun his siege of the city. Scott was taken as a prisoner of war when Charleston surrendered. Paroled in March 1781 and exchanged for Lord Rawdon in July 1782, Scott managed to complete a few recruiting assignments before the war ended.</t>
  </si>
  <si>
    <t>13 May 1730</t>
  </si>
  <si>
    <t>Wentworth, Yorkshire, England</t>
  </si>
  <si>
    <t xml:space="preserve">	1 July 1782</t>
  </si>
  <si>
    <t>Wimbledon, England</t>
  </si>
  <si>
    <t>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t>
  </si>
  <si>
    <t>27 January 1723</t>
  </si>
  <si>
    <t>Angers, France</t>
  </si>
  <si>
    <t>15 December 1780</t>
  </si>
  <si>
    <t>Duc de Bourgogne, Newport, Rhode Island, US</t>
  </si>
  <si>
    <t>February 16, 1724</t>
  </si>
  <si>
    <t>Charleston, South Carolina, British America</t>
  </si>
  <si>
    <t xml:space="preserve">	August 28, 1805</t>
  </si>
  <si>
    <t>Charleston, South Carolina, U.S.</t>
  </si>
  <si>
    <t>Christopher Gadsden (February 16, 1724 – August 28, 1805) was an American politician who was the principal leader of the South Carolina Patriot movement during the American Revolution. He was a delegate to the Continental Congress, a brigadier general in the Continental Army during the American Revolutionary War, Lieutenant Governor of South Carolina, a merchant, and the designer of the Gadsden flag. He is a signatory to the Continental Association.</t>
  </si>
  <si>
    <t>Moulins, Kingdom of France</t>
  </si>
  <si>
    <t>Montfermeil</t>
  </si>
  <si>
    <t>Claude Gabriel, Marquis de Choissey (French: Claude Gabriel de Choisy) was a French general who served in Poland in the 1770s, and then in North America during the American Revolutionary War.</t>
  </si>
  <si>
    <t>15 April 1707</t>
  </si>
  <si>
    <t>Château Vertamboz</t>
  </si>
  <si>
    <t>15 January 1778</t>
  </si>
  <si>
    <t>Arsenal of Paris</t>
  </si>
  <si>
    <t>17 October 1736</t>
  </si>
  <si>
    <t>Marbletown, New York, US</t>
  </si>
  <si>
    <t>15 November 1809</t>
  </si>
  <si>
    <t>Milford, Pennsylvania, US</t>
  </si>
  <si>
    <t>Daniel Brodhead (October 17, 1736 – November 15, 1809) was an American military and political leader during the American Revolutionary War and early days of the United States.</t>
  </si>
  <si>
    <t>Hunterdon County, Province of New Jersey, British America</t>
  </si>
  <si>
    <t>July 6, 1802</t>
  </si>
  <si>
    <t>Winchester, Virginia, U.S.</t>
  </si>
  <si>
    <t>Daniel Morgan (1735/36 – July 6, 1802) was an American pioneer, soldier, and politician from Virginia. One of the most respected battlefield tacticians of the American Revolutionary War of 1775–1783, he later commanded troops during the suppression of the Whiskey Rebellion of 1791–1794.</t>
  </si>
  <si>
    <t>March 13, 1711</t>
  </si>
  <si>
    <t>Stratford, Connecticut Colony</t>
  </si>
  <si>
    <t xml:space="preserve">	May 2, 1777</t>
  </si>
  <si>
    <t>Danbury, Connecticut</t>
  </si>
  <si>
    <t>(April 18, 1728</t>
  </si>
  <si>
    <t>Oxford, Massachusetts</t>
  </si>
  <si>
    <t>Ebenezer Learned (April 18, 1728 – April 1, 1801) was a brigadier general in the American Continental Army during the Revolutionary War.</t>
  </si>
  <si>
    <t>August 6, 1717</t>
  </si>
  <si>
    <t xml:space="preserve">	June 5, 1777</t>
  </si>
  <si>
    <t>Chowan County, North Carolina</t>
  </si>
  <si>
    <t>May 1, 1737</t>
  </si>
  <si>
    <t>Elizabeth, New Jersey</t>
  </si>
  <si>
    <t>October 22, 1807</t>
  </si>
  <si>
    <t xml:space="preserve">	June 21, 1736</t>
  </si>
  <si>
    <t>Andover, Massachusetts</t>
  </si>
  <si>
    <t xml:space="preserve">	September 8, 1780</t>
  </si>
  <si>
    <t>Hackensack, New Jersey</t>
  </si>
  <si>
    <t>Enoch Poor (June 21, 1736 (Old Style) – September 8, 1780) was a brigadier general in the Continental Army during the American Revolutionary War. He was a ship builder and merchant from Exeter, New Hampshire.</t>
  </si>
  <si>
    <t>April 26, 1718</t>
  </si>
  <si>
    <t>Scituate, Colony of Rhode Island and Providence Plantations</t>
  </si>
  <si>
    <t xml:space="preserve">	February 26, 1802</t>
  </si>
  <si>
    <t>Providence, Rhode Island</t>
  </si>
  <si>
    <t>January 21, 1738</t>
  </si>
  <si>
    <t>Litchfield, Connecticut</t>
  </si>
  <si>
    <t xml:space="preserve">	February 12, 1789</t>
  </si>
  <si>
    <t>Burlington, Vermont</t>
  </si>
  <si>
    <t>Kilmallock, County Limerick, Ireland</t>
  </si>
  <si>
    <t>Madras, Madras Presidency</t>
  </si>
  <si>
    <t>February 27, 1795</t>
  </si>
  <si>
    <t>Berkeley County, South Carolina</t>
  </si>
  <si>
    <t>Brigadier General Francis Marion (c. 1732 – February 27, 1795), also known as the "Swamp Fox", was an American military officer, planter, and politician who served during the French and Indian War and the Revolutionary War. During the American Revolution, Marion supported the Patriot cause and enlisted in the Continental Army, fighting against British forces in the Southern theater of the American Revolutionary War from 1780 to 1781.</t>
  </si>
  <si>
    <t>4 May 1781</t>
  </si>
  <si>
    <t>Prince Edward County, Colony of Virginia, British America</t>
  </si>
  <si>
    <t>October 7, 1777</t>
  </si>
  <si>
    <t>Kulpsville, Pennsylvania, United States</t>
  </si>
  <si>
    <t>Francis Nash (c. 1742 – October 7, 1777) was a brigadier general in the Continental Army during the American Revolutionary War. Prior to the war, he was a lawyer, public official, and politician in Hillsborough, North Carolina, and was heavily involved in opposing the Regulator movement, an uprising of settlers in the North Carolina piedmont between 1765 and 1771. Nash was also involved in North Carolina politics, representing Hillsborough on several occasions in the colonial North Carolina General Assembly.</t>
  </si>
  <si>
    <t>9 December 1754</t>
  </si>
  <si>
    <t>County Down, Ireland</t>
  </si>
  <si>
    <t>28 November 1826</t>
  </si>
  <si>
    <t>At sea off Naples</t>
  </si>
  <si>
    <t>Major General Francis Smith (1723–1791) was a British Army officer. Although Smith had a lengthy and varied career, he is best known as the British commander during most of the Battle of Lexington and Concord, Massachusetts on 19 April 1775. The fighting ignited the American War of Independence that would see thirteen of Britain's American Colonies become a separate nation.</t>
  </si>
  <si>
    <t>13 September 1722</t>
  </si>
  <si>
    <t xml:space="preserve">	11 January 1788</t>
  </si>
  <si>
    <t>Tilly, Île-de-France, France</t>
  </si>
  <si>
    <t>François Joseph Paul, Comte de Grasse, Marquis of Grasse-Tilly SMOM (13 September 1722 – 11 January 1788) was a career French officer who achieved the rank of admiral. He is best known for his command of the French fleet at the Battle of the Chesapeake in 1781 in the last year of the American Revolutionary War. It led directly to the British surrender at Yorktown and helped gain the rebels' victory.</t>
  </si>
  <si>
    <t>1725 </t>
  </si>
  <si>
    <t xml:space="preserve">	10 September 1787</t>
  </si>
  <si>
    <t>5 May 1734</t>
  </si>
  <si>
    <t>24 October 1788</t>
  </si>
  <si>
    <t>11 August 1718</t>
  </si>
  <si>
    <t>Yverdon, Switzerland</t>
  </si>
  <si>
    <t>5 June 1791</t>
  </si>
  <si>
    <t>13 April 1732</t>
  </si>
  <si>
    <t>Piccadilly, London, England</t>
  </si>
  <si>
    <t xml:space="preserve">	5 August 1792</t>
  </si>
  <si>
    <t>Mayfair London, England</t>
  </si>
  <si>
    <t>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t>
  </si>
  <si>
    <t>Fort George, New York, U.S.</t>
  </si>
  <si>
    <t>Friedrich Wilhelm, Baron de Woedtke (c. 1740 - July 28, 1776) was a Prussian officer who served in the Continental Army during the American Revolutionary War.</t>
  </si>
  <si>
    <t>June 3, 1738</t>
  </si>
  <si>
    <t>Lauterbach, Hesse, Principality of Brunswick-Wolfenbüttel</t>
  </si>
  <si>
    <t xml:space="preserve">	January 6, 1800</t>
  </si>
  <si>
    <t>Braunschweig, Principality of Brunswick-Wolfenbüttel</t>
  </si>
  <si>
    <t>Freiherr Friedrich Adolf Riedesel Freiherr zu Eisenbach (3 June 1738 in Lauterbach/Hesse – 6 January 1800 in Braunschweig) was a German officer who served in the Seven Years' War and American War of Independence. He was the commander of the Braunschweiger Jäger, a regiment of soldiers from the Principality of Brunswick-Wolfenbüttel that was among the German units hired by the British during the American War of Independence. He then commanded all German soldiers in the Saratoga Campaign.</t>
  </si>
  <si>
    <t>June 26, 1734</t>
  </si>
  <si>
    <t>May 14, 1798</t>
  </si>
  <si>
    <t>Friederich Ludwig Albrecht von Eyb was a military commander of Ansbach-Bayreuth. In 1776, when the American Revolutionary War broke out, the Kingdom of Great Britain appealed to various German princes for troops in return for payment. Von Eyb commanded the Bayreuth regiment from 1776 to May 1778, when he returned to Uffenheim.</t>
  </si>
  <si>
    <t>20 April 1720</t>
  </si>
  <si>
    <t>Lütetsburg</t>
  </si>
  <si>
    <t>25 June 1800</t>
  </si>
  <si>
    <t>Lütetsburg, Lower Saxony, Germany.</t>
  </si>
  <si>
    <t>Kassel, Hesse, Germany</t>
  </si>
  <si>
    <t xml:space="preserve">	September 17, 1730</t>
  </si>
  <si>
    <t>Magdeburg, Magdeburg, Prussia</t>
  </si>
  <si>
    <t>November 28, 1794</t>
  </si>
  <si>
    <t>Georg Pausch (about 1740 – 1795 or 1796) was a soldier from Hesse-Hanau. He is noted for the journal he left describing the experiences and those of his company in Canada with Burgoyne's campaign. The campaign culminated in Burgoyne's surrender after the Battle of Saratoga.</t>
  </si>
  <si>
    <t>13 February 1718</t>
  </si>
  <si>
    <t>24 May 1792</t>
  </si>
  <si>
    <t>Walton-on-Thames, Surrey</t>
  </si>
  <si>
    <t>Hanover Square, London</t>
  </si>
  <si>
    <t>Admiral George Brydges Rodney, 1st Baron Rodney, KB (bap. 13 February 1718 – 24 May 1792), was a British naval officer. He is best known for his commands in the American War of Independence, particularly his victory over the French at the Battle of the Saintes in 1782. It is often claimed that he was the commander to have pioneered the tactic of breaking the line.</t>
  </si>
  <si>
    <t>July 26,1739</t>
  </si>
  <si>
    <t>Little Britain, Province of New York, British America</t>
  </si>
  <si>
    <t>April 20, 1812</t>
  </si>
  <si>
    <t>Washington, D.C., U.S.</t>
  </si>
  <si>
    <t xml:space="preserve">	11 May 1732</t>
  </si>
  <si>
    <t>6 April 1795</t>
  </si>
  <si>
    <t>Vice Admiral Sir George Collier (11 May 1732 – 6 April 1795) was an officer of the Royal Navy who saw service during the Seven Years' War, the American War of Independence and the French Revolutionary Wars. As commander of the fourth-rate ship HMS Rainbow, he was one of the most successful British naval commanders during the opening stages of war with America. He achieved considerable success as one of the senior officers on the North American coast, conducting and organizing several highly effective raids and counter-strikes. He was superseded however, and returned to Britain to play a role in the closing events of the war in European waters, before moving ashore to start a political career. He enjoyed a brief return to service with the resumption of war with France, and achieved flag rank, but died shortly afterwards.</t>
  </si>
  <si>
    <t>Beverley, Yorkshire</t>
  </si>
  <si>
    <t>George Garth (1733–1819) was a British General, a commander in the American Revolutionary War, and Colonel of the 17th Regiment of Foot.</t>
  </si>
  <si>
    <t>26 January 1716</t>
  </si>
  <si>
    <t>26 August 1785</t>
  </si>
  <si>
    <t>Stoneland Lodge, Sussex</t>
  </si>
  <si>
    <t>George Germain, 1st Viscount Sackville, PC (26 January 1716 – 26 August 1785), styled The Honourable George Sackville until 1720, Lord George Sackville from 1720 to 1770 and Lord George Germain from 1770 to 1782, was a British soldier and politician who served as Secretary of State for the American Department in Lord North's cabinet during the American War of Independence.</t>
  </si>
  <si>
    <t>August 30, 1739</t>
  </si>
  <si>
    <t>Augusta County, Virginia Colony, British America</t>
  </si>
  <si>
    <t>August 30, 1812</t>
  </si>
  <si>
    <t>Augusta, Georgia, U.S.</t>
  </si>
  <si>
    <t>George Mathews (August 30, 1739 – August 30, 1812) was an American soldier and politician from the U.S. States of Virginia and Georgia. He was a brevet brigadier general in the Continental Army, the 20th and 24th Governor of Georgia, a U.S. Representative from Georgia, and the leading participant in the Patriot War of East Florida.</t>
  </si>
  <si>
    <t>November 19, 1752</t>
  </si>
  <si>
    <t>Albemarle County, Virginia, British America</t>
  </si>
  <si>
    <t xml:space="preserve">	February 13, 1818</t>
  </si>
  <si>
    <t>Louisville, Kentucky, U.S.</t>
  </si>
  <si>
    <t>George Rogers Clark (November 19, 1752 – February 13, 1818) was an American military officer and surveyor from Virginia who became the highest-ranking Patriot military officer on the northwestern frontier during the Revolutionary War. He served as leader of the Virginia militia in Kentucky (then part of Virginia) throughout much of the war. He is best known for his captures of Kaskaskia in 1778 and Vincennes in 1779 during the Illinois campaign, which greatly weakened British influence in the Northwest Territory (then part of the British Province of Quebec) and earned Clark the nickname of "Conqueror of the Old Northwest". The British ceded the entire Northwest Territory to the United States in the 1783 Treaty of Paris.</t>
  </si>
  <si>
    <t>6 September 1757</t>
  </si>
  <si>
    <t>Château de Chavaniac, Auvergne Province, Kingdom of France</t>
  </si>
  <si>
    <t xml:space="preserve">	20 May 1834</t>
  </si>
  <si>
    <t>July 21, 1790</t>
  </si>
  <si>
    <t>Gold Selleck Silliman (1732–1790) was a Connecticut militia General during the American War for Independence.</t>
  </si>
  <si>
    <t xml:space="preserve">	August 10, 1805</t>
  </si>
  <si>
    <t>Sumner County, Tennessee</t>
  </si>
  <si>
    <t>Griffith Rutherford (c. 1721 – August 10, 1805) was an American military officer in the Revolutionary War, a political leader in North Carolina, and an important figure in the early history of the Southwest Territory and the state of Tennessee.</t>
  </si>
  <si>
    <t>3 September 1724</t>
  </si>
  <si>
    <t>Strabane, County Tyrone, Ulster, Kingdom of Ireland</t>
  </si>
  <si>
    <t xml:space="preserve">	10 November 1808</t>
  </si>
  <si>
    <t>Maidenhead, Berkshire, England</t>
  </si>
  <si>
    <t>Ross, Scotland</t>
  </si>
  <si>
    <t>27 December 1805</t>
  </si>
  <si>
    <t>General Sir Hector Munro, 8th Laird of Novar, KB (1726 – 27 December 1805) was a Scottish army officer and politician who served as the ninth Commander-in-Chief of Bengal from 1764 to 1765.</t>
  </si>
  <si>
    <t>16 April 1730</t>
  </si>
  <si>
    <t>Newfoundland, British North America</t>
  </si>
  <si>
    <t>23 December 1795</t>
  </si>
  <si>
    <t>London, Great Britain</t>
  </si>
  <si>
    <t>General Sir Henry Clinton, KB (16 April 1730 – 23 December 1795) was a British Army officer and politician who sat in the House of Commons between 1772 and 1795. He is best known for his service as a general during the American War of Independence. He arrived in Boston in May 1775 and was the British Commander-in-Chief in America from 1778 to 1782. He was a Member of Parliament for many years due to the influence of his cousin Henry Pelham-Clinton, 2nd Duke of Newcastle. Late in life, he was named Governor of Gibraltar, but he died before assuming the post.</t>
  </si>
  <si>
    <t>July 25, 1750</t>
  </si>
  <si>
    <t>Boston, Province of Massachusetts Bay, British America</t>
  </si>
  <si>
    <t>October 25, 1806</t>
  </si>
  <si>
    <t>Thomaston, District of Maine, Massachusetts, U.S.</t>
  </si>
  <si>
    <t>Chelsea, Middlesex
Great Britain</t>
  </si>
  <si>
    <t xml:space="preserve">	9 July 1795</t>
  </si>
  <si>
    <t>Henley-on-Thames, Berkshire
Great Britain</t>
  </si>
  <si>
    <t>Field Marshal Henry Seymour Conway (1721 – 9 July 1795) was a British general and statesman. A brother of the 1st Marquess of Hertford, and cousin of Horace Walpole, he began his military career in the War of the Austrian Succession. He held various political offices including Chief Secretary for Ireland, Secretary of State for the Southern Department, Leader of the House of Commons and Secretary of State for the Northern Department. He eventually rose to the position of Commander-in-Chief of the Forces.</t>
  </si>
  <si>
    <t>May 12, 1747</t>
  </si>
  <si>
    <t>March 31, 1809</t>
  </si>
  <si>
    <t>Richmond County, North Carolina</t>
  </si>
  <si>
    <t>Henry William Harrington (May 12, 1747 - March 31, 1809) was a Brigadier General in the American Revolution, legislator, and planter. He commanded the Richmond County Regiment of the North Carolina militia from 1779 to 1780.</t>
  </si>
  <si>
    <t xml:space="preserve">	July 26, 1727</t>
  </si>
  <si>
    <t>Maldon, Essex, Great Britain</t>
  </si>
  <si>
    <t>April 10, 1806</t>
  </si>
  <si>
    <t>New York City, U.S.</t>
  </si>
  <si>
    <t>16 January 1726</t>
  </si>
  <si>
    <t>Pitsligo, Aberdeenshire, Scotland</t>
  </si>
  <si>
    <t xml:space="preserve">	12 January 1777</t>
  </si>
  <si>
    <t>Princeton, New Jersey, U.S.</t>
  </si>
  <si>
    <t>Hugh Mercer (16 January 1726 – 12 January 1777) was a Scottish-born American military officer and physician who participated in the Seven Years' War and Revolutionary War. Born in Pitsligo, Scotland, he studied medicine in his home country and served with the Jacobite forces of Bonnie Prince Charlie, participating in the Battle of Culloden in 1746. With the failure of the Jacobite rising, Mercer escaped to the Province of Pennsylvania.</t>
  </si>
  <si>
    <t>25 March 1736</t>
  </si>
  <si>
    <t>Colombo, Dutch Ceylon</t>
  </si>
  <si>
    <t xml:space="preserve">	6 February 1785</t>
  </si>
  <si>
    <t>Pasquotank County, North Carolina</t>
  </si>
  <si>
    <t>April 1800</t>
  </si>
  <si>
    <t>Camden County, North Carolina</t>
  </si>
  <si>
    <t>March 19, 1743</t>
  </si>
  <si>
    <t>Province of Carolina, British America</t>
  </si>
  <si>
    <t>October 17, 1797</t>
  </si>
  <si>
    <t>Isaac Huger (March 19, 1743 – October 17, 1797) was a planter and Continental Army general during the American Revolutionary War.</t>
  </si>
  <si>
    <t>January 7, 1718</t>
  </si>
  <si>
    <t>Danvers, Province of Massachusetts Bay, British America</t>
  </si>
  <si>
    <t>May 29, 1790</t>
  </si>
  <si>
    <t>Brooklyn, Connecticut, United States</t>
  </si>
  <si>
    <t>Israel Putnam (January 7, 1718 – May 29, 1790), popularly known as "Old Put", was an American military officer and landowner who fought with distinction at the Battle of Bunker Hill during the American Revolutionary War (1775–1783). He also served as an officer with Rogers' Rangers during the French and Indian War (1754–1763), when he was captured by Mohawk warriors. He was saved from the ritual burning given to enemies by the intervention of a French officer with whom the Mohawk were allied. Putnam's courage and fighting spirit became known far beyond his home of Connecticut's borders through the circulation of folk legends in the American colonies and states celebrating his exploits.</t>
  </si>
  <si>
    <t>November 5, 1734</t>
  </si>
  <si>
    <t>Wiccopee, Fishkill, Dutchess County, New York</t>
  </si>
  <si>
    <t>February 16, 1827</t>
  </si>
  <si>
    <t>Swartwoutville, Wappinger, Dutchess County, New York</t>
  </si>
  <si>
    <t xml:space="preserve">	18 April 1720</t>
  </si>
  <si>
    <t>Jacques-Melchior Saint-Laurent, Comte de Barras (1719–1793) was a French Navy officer of the eighteenth century. He notably served in Yorktown Campaign of the War of American Independence.</t>
  </si>
  <si>
    <t>Scotland, Kingdom of Great Britain</t>
  </si>
  <si>
    <t xml:space="preserve">	23 June 1775</t>
  </si>
  <si>
    <t>Lieutenant Colonel James Abercrombie (1732 – 23 June 1775) was a British army officer who died during the American Revolutionary War.</t>
  </si>
  <si>
    <t xml:space="preserve">	4 October 1777</t>
  </si>
  <si>
    <t>Germantown, Pennsylvania</t>
  </si>
  <si>
    <t>Brigadier-General James Tanner Agnew, of Howlish Hall, Co Durham (1719 – 4 October 1777) was a British Army officer reportedly killed by a sniper in the Battle of Germantown during the American Revolutionary War.</t>
  </si>
  <si>
    <t>March 13, 1753</t>
  </si>
  <si>
    <t>Virginia, British America</t>
  </si>
  <si>
    <t>July 30, 1801</t>
  </si>
  <si>
    <t>Louisville, Georgia, U.S.</t>
  </si>
  <si>
    <t>James Gunn (March 13, 1753 – July 30, 1801) was a delegate to the Continental Congress and a United States Senator from Georgia.</t>
  </si>
  <si>
    <t>January 4, 1781</t>
  </si>
  <si>
    <t>Haddrel's Point, South Carolina</t>
  </si>
  <si>
    <t>James Hogun (died January 4, 1781) was an Irish-American military officer who was as one of five generals from North Carolina to serve with the Continental Army during the American Revolutionary War. Born in Ireland, Hogan migrated to North Carolina – then a British colony – in 1751. Settling in Halifax County, he raised a family and established himself as a prominent local figure.</t>
  </si>
  <si>
    <t>September 23, 1740</t>
  </si>
  <si>
    <t>The Lilacs, Turkey, Sampson County, North Carolina</t>
  </si>
  <si>
    <t xml:space="preserve">	May 23, 1810</t>
  </si>
  <si>
    <t>Turkey, Sampson County, North Carolina</t>
  </si>
  <si>
    <t>December 17, 1748</t>
  </si>
  <si>
    <t>Dracut, Province of Massachusetts Bay</t>
  </si>
  <si>
    <t xml:space="preserve">	January 9, 1789</t>
  </si>
  <si>
    <t>New Hanover Precinct, Province of North Carolina, British America</t>
  </si>
  <si>
    <t xml:space="preserve">	c. April 15, 1777</t>
  </si>
  <si>
    <t>Wilmington, North Carolina, United States</t>
  </si>
  <si>
    <t>James Moore (c. 1737 – c. April 15, 1777) was a Continental Army general during the American Revolutionary War. Moore was born into a prominent political family in the colonial Province of North Carolina, he was one of only five generals from North Carolina to serve in the Continental Army. He spent much of his childhood and youth on his family's estates in the lower Cape Fear River area, but soon became active in the colonial military structure in North Carolina.</t>
  </si>
  <si>
    <t>September 2, 1804</t>
  </si>
  <si>
    <t>New York City, US</t>
  </si>
  <si>
    <t>James Nicholson (1737 – 2 September 1804) was an officer in the Continental Navy during the American Revolutionary War.</t>
  </si>
  <si>
    <t>c. 1724</t>
  </si>
  <si>
    <t>February 13, 1807</t>
  </si>
  <si>
    <t>Fitchburg, Massachusetts</t>
  </si>
  <si>
    <t>James Reed (born c. 1722–1807) was a military officer in the French and Indian War and the American Revolution, rising to the rank of brigadier general in the latter conflict.</t>
  </si>
  <si>
    <t>March 24, 1757</t>
  </si>
  <si>
    <t>Charles County, Province of Maryland, British America</t>
  </si>
  <si>
    <t>December 28, 1825</t>
  </si>
  <si>
    <t>Mexico City, Mexican Republic</t>
  </si>
  <si>
    <t>1 May 1735</t>
  </si>
  <si>
    <t>Doesburg, Dutch Republic</t>
  </si>
  <si>
    <t>24 May 1819</t>
  </si>
  <si>
    <t>Apeldoorn, Netherlands</t>
  </si>
  <si>
    <t>Jan Hendrik van Kinsbergen, Count of Doggerbank (1 May 1735 – 24 May 1819), was a Dutch naval officer. Having had a good scientific education, Van Kinsbergen was a proponent of fleet modernization and wrote many books about naval organization, discipline and tactics.</t>
  </si>
  <si>
    <t>19 January 1832</t>
  </si>
  <si>
    <t>Jean Baptiste Joseph, chevalier de Laumoy (1750–1832) was a French Army engineer who fought in the American Revolutionary War and during the French Revolutionary Wars.</t>
  </si>
  <si>
    <t>1 July 1725</t>
  </si>
  <si>
    <t>Vendôme, Orléanais, France</t>
  </si>
  <si>
    <t>30 May 1807</t>
  </si>
  <si>
    <t>horé, Loir-et-Cher, France</t>
  </si>
  <si>
    <t>Marshal Jean-Baptiste Donatien de Vimeur, comte de Rochambeau (1 July 1725 – 10 May 1807) was a French nobleman and general whose army played a critical role in helping the United States defeat the British Army at Yorktown in 1781 during the American Revolutionary War. He was commander-in-chief of the French Expeditionary Force sent by France to help the American Continental Army fight against British forces.</t>
  </si>
  <si>
    <t xml:space="preserve">	4 August 1743</t>
  </si>
  <si>
    <t>Norwich, Connecticut,</t>
  </si>
  <si>
    <t>Jedediah (or Jedidiah) Huntington (4 August 1743 – 25 September 1818), was an American general in the Continental Army during the American Revolutionary War. After the war, he served in numerous civilian posts.</t>
  </si>
  <si>
    <t>29 January 1717</t>
  </si>
  <si>
    <t>Sevenoaks, Kent, Great Britain</t>
  </si>
  <si>
    <t>3 August 1797</t>
  </si>
  <si>
    <t>c. 1733</t>
  </si>
  <si>
    <t>Nansemond County, Virginia</t>
  </si>
  <si>
    <t>c. March 18, 1785</t>
  </si>
  <si>
    <t>Warren County, North Carolina, US</t>
  </si>
  <si>
    <t>Jethro Exum Sumner (c. 1733 – c. March 18, 1785) was a senior officer of the Continental Army during the American Revolutionary War. Born in Virginia, Sumner's military service began in the French and Indian War as a member of the state's Provincial forces. After the conclusion of that conflict, he moved to Bute County, North Carolina, where he acquired a substantial area of land and operated a tavern. He served as Sheriff of Bute County, but with the coming of the American Revolution, he became a strident patriot, and was elected to North Carolina's Provincial Congress.</t>
  </si>
  <si>
    <t>May 10, 1724</t>
  </si>
  <si>
    <t>Reeuwijk, Dutch Republic</t>
  </si>
  <si>
    <t>May 7, 1793</t>
  </si>
  <si>
    <t>The Hague, Dutch Republic</t>
  </si>
  <si>
    <t>Johan Arnold Zoutman (10 May 1724, Reeuwijk – 7 May 1793, The Hague) was a Dutch naval figure and rear admiral who fought at the Battle of Dogger Bank in the Fourth Anglo-Dutch War. Zoutman also fought in the American Revolutionary War.</t>
  </si>
  <si>
    <t>June 19, 1721</t>
  </si>
  <si>
    <t>Erlangen, Brandenburg-Bayreuth, Holy Roman Empire</t>
  </si>
  <si>
    <t xml:space="preserve">	August 19, 1780</t>
  </si>
  <si>
    <t>Camden, South Carolina, U.S.</t>
  </si>
  <si>
    <t>Johann von Robais, Baron de Kalb (June 19, 1721 – August 19, 1780), born Johann Kalb, was a Franconian-born French military officer who served as a major general in the Continental Army during the American Revolutionary War. He was mortally wounded while fighting against the British Army during the Battle of Camden.</t>
  </si>
  <si>
    <t>Hesse-Cassel, Holy Roman Empire</t>
  </si>
  <si>
    <t xml:space="preserve">	27 December, 1776</t>
  </si>
  <si>
    <t>Trenton, New Jersey</t>
  </si>
  <si>
    <t>2 May 1751</t>
  </si>
  <si>
    <t>2 October 1780</t>
  </si>
  <si>
    <t>Tappan, New York, U.S.</t>
  </si>
  <si>
    <t>October 13, 1717</t>
  </si>
  <si>
    <t>Brookeborough, Fermanagh, Ireland</t>
  </si>
  <si>
    <t>March 9, 1795</t>
  </si>
  <si>
    <t>Carlisle, Pennsylvania, U.S.</t>
  </si>
  <si>
    <t>John Armstrong (October 13, 1717 – March 9, 1795) was an American civil engineer and soldier who served as a brigadier general in the Continental Army and as a major general in the Pennsylvania Militia during the Revolutionary War. He was also a delegate to the Continental Congress for Pennsylvania. Armstrong County, Pennsylvania is named in his honor.</t>
  </si>
  <si>
    <t>March 24, 1725</t>
  </si>
  <si>
    <t>Brunswick County, North Carolina</t>
  </si>
  <si>
    <t xml:space="preserve">	October 24, 1781</t>
  </si>
  <si>
    <t>Sampson County, North Carolina</t>
  </si>
  <si>
    <t>John Ashe, Sr. (ca. 1720 – October 24, 1781) was Speaker of the House of Burgesses in the Province of North Carolina. He was Harvard educated and fought in the North Carolina militia during the French and Indian War. During the American Revolution, he attained the rank of major general and was in charge of North Carolina militia and state troops from 1776 to 1779. He resigned from military service after the Patriot defeat at the Battle of Brier Creek in 1779.</t>
  </si>
  <si>
    <t>July 15, 1748</t>
  </si>
  <si>
    <t>August 27, 1800</t>
  </si>
  <si>
    <t>March 25, 1745</t>
  </si>
  <si>
    <t>Tacumshane, County Wexford, Ireland</t>
  </si>
  <si>
    <t xml:space="preserve">	24 February 1722</t>
  </si>
  <si>
    <t>Sutton, Bedfordshire, Great Britain</t>
  </si>
  <si>
    <t>4 August 1792</t>
  </si>
  <si>
    <t>Mayfair, London, Great Britain</t>
  </si>
  <si>
    <t>General John Burgoyne (24 February 1722 – 4 August 1792) was a British general, dramatist and politician who sat in the House of Commons from 1761 to 1792. He first saw action during the Seven Years' War when he participated in several battles, most notably during the Portugal Campaign of 1762.</t>
  </si>
  <si>
    <t>c.1728</t>
  </si>
  <si>
    <t>John Butler (c.1728 – 1786) was a military officer in the Hillsborough District Brigade of the North Carolina militia during the American Revolutionary War from 1775 to 1784, and served as its commanding general between 1779 and the end of the conflict. He was a member of the North Carolina House of Commons for several terms simultaneously with his military service. Butler commanded soldiers in several major engagements throughout North and South Carolina, but is perhaps best remembered for his role in the Patriot defeat at the Battle of Lindley's Mill. Butler died shortly after the end of the war, and his career as a military commander has received mixed reviews by historians.</t>
  </si>
  <si>
    <t>8 November 1723</t>
  </si>
  <si>
    <t>10 April 1786</t>
  </si>
  <si>
    <t>ondon, England</t>
  </si>
  <si>
    <t>Argyll, Scotland</t>
  </si>
  <si>
    <t xml:space="preserve">	28 August 1806</t>
  </si>
  <si>
    <t>General John Campbell, 17th Chief of MacArthur Campbells of Strachur (1727 – 28 August 1806) was a Scottish soldier and nobleman, who commanded the British forces at the Siege of Pensacola, and succeeded Guy Carleton, 1st Baron Dorchester as Commander-in-Chief in North America in 1783 following the end of the American War of Independence.</t>
  </si>
  <si>
    <t xml:space="preserve">	c. 1731</t>
  </si>
  <si>
    <t>16 January 1798</t>
  </si>
  <si>
    <t>General Sir John Dalling, 1st Baronet (c. 1731 – 16 January 1798) of Burwood Park in Surrey, was a British soldier and colonial administrator.</t>
  </si>
  <si>
    <t>July 7, 1735</t>
  </si>
  <si>
    <t>August 1, 1808</t>
  </si>
  <si>
    <t>Plainfield, New London County, Connecticut Colony</t>
  </si>
  <si>
    <t>Sheffield, Massachusetts</t>
  </si>
  <si>
    <t>John Fellows (July 7, 1735 – August 1, 1808) was a Brigadier-General in the Massachusetts Militia who participated in several major battles during the American Revolutionary War.</t>
  </si>
  <si>
    <t>Salem, Province of Massachusetts</t>
  </si>
  <si>
    <t>January 30, 1797</t>
  </si>
  <si>
    <t>25 February 1752</t>
  </si>
  <si>
    <t>Cotterstock, Oundle, England</t>
  </si>
  <si>
    <t>26 October 1806</t>
  </si>
  <si>
    <t>Exeter, England</t>
  </si>
  <si>
    <t>John Graves Simcoe (25 February 1752 – 26 October 1806) was a British Army general and the first lieutenant governor of Upper Canada from 1791 until 1796 in southern Ontario and the watersheds of Georgian Bay and Lake Superior. He founded York, which is now known as Toronto, and was instrumental in introducing institutions such as courts of law, trial by jury, English common law, and freehold land tenure, and also in the abolition of slavery in Canada.</t>
  </si>
  <si>
    <t xml:space="preserve">	March 1, 1800</t>
  </si>
  <si>
    <t>5 November 1741</t>
  </si>
  <si>
    <t>Amsterdam, New York</t>
  </si>
  <si>
    <t xml:space="preserve">	4 January 1830</t>
  </si>
  <si>
    <t>Montreal, Canada</t>
  </si>
  <si>
    <t>Brigadier General Sir John Johnson, 2nd Baronet (5 November 1741 – 4 January 1830) was an American-born military officer, magistrate, landowner and colonial official in the British Indian Department who fought as a Loyalist during the American Revolutionary War. He was the son of Sir William Johnson, 1st Baronet, who was the first British Superintendent of Indian Affairs.</t>
  </si>
  <si>
    <t>13 November 1718</t>
  </si>
  <si>
    <t>30 April 1792</t>
  </si>
  <si>
    <t>Chiswick, Middlesex, England</t>
  </si>
  <si>
    <t>New York City, Province of New York, British America</t>
  </si>
  <si>
    <t>September 14, 1784</t>
  </si>
  <si>
    <t>New York City, United States</t>
  </si>
  <si>
    <t>John Morin Scott (1730 – September 14, 1784) was a lawyer, military officer, and statesman before, during and after the American Revolution.</t>
  </si>
  <si>
    <t>March 1, 1727</t>
  </si>
  <si>
    <t>Framingham, Massachusetts, British America</t>
  </si>
  <si>
    <t>Middlebury, Vermont, U.S.</t>
  </si>
  <si>
    <t>John Nixon (March 1, 1727 – March 24, 1815) was an American brigadier general in the Continental Army during the American Revolutionary War.</t>
  </si>
  <si>
    <t>July 6, 1747</t>
  </si>
  <si>
    <t>Arbigland, Kirkcudbrightshire, Scotland, Kingdom of Great Britain</t>
  </si>
  <si>
    <t>July 18, 1792</t>
  </si>
  <si>
    <t>28 December 1722</t>
  </si>
  <si>
    <t>Dysart, Fife</t>
  </si>
  <si>
    <t>17 June 1775</t>
  </si>
  <si>
    <t>Boston, Massachusetts</t>
  </si>
  <si>
    <t>Major John Pitcairn (28 December 1722 – 17 June 1775) was a Scottish military officer. Born in Dysart, Fife, he enlisted in the Marine Forces at the age of 23 and was stationed in North America during the French and Indian War, serving at the rank of captain. Arriving in Boston in 1774 as part of a British occupation of the city, he fought in the 1775 battles of Lexington and Concord during the outbreak of the American War of Independence. Two months later in June, Pitcairn was killed in action during the battle of Bunker Hill. Respected by both his men and Pitcairn's American opponents, he was buried at Boston's Old North Church.</t>
  </si>
  <si>
    <t>August 28, 1728</t>
  </si>
  <si>
    <t>Londonderry, Province of New Hampshire</t>
  </si>
  <si>
    <t xml:space="preserve">	May 8, 1822</t>
  </si>
  <si>
    <t>Manchester, New Hampshire, United States</t>
  </si>
  <si>
    <t>Major-General John Stark (August 28, 1728 – May 8, 1822) was an American military officer who served during the French and Indian War and the Revolutionary War. He became known as the "Hero of Bennington" for his exemplary service at the Battle of Bennington in 1777.</t>
  </si>
  <si>
    <t>February 15, 1759</t>
  </si>
  <si>
    <t>Frederick, Province of Maryland, British America</t>
  </si>
  <si>
    <t xml:space="preserve">	June 23, 1825</t>
  </si>
  <si>
    <t>altimore, Maryland, U.S.</t>
  </si>
  <si>
    <t>Brigadier General John Stricker (1758–1825) was a Maryland state militia officer who fought in both the American Revolutionary War in the First Maryland Regiment of the famous "Maryland Line" of the Continental Army and in the War of 1812. He commanded the Third Brigade (also known as the "City Brigade" or the "Baltimore Brigade") of the Maryland state militia in the Battle of North Point on Monday, September 12, 1814, (later known as "Defenders' Day, a state, county and city holiday) which formed a part of the larger Battle of Baltimore, along with the subsequent British naval bombardment of Fort McHenry on September 13-14th, and was a turning point in the later months of the War of 1812 and to the peace negotiators across the Atlantic Ocean for the Treaty of Ghent, in the city of Ghent then in the Austrian Netherlands, (now of future Belgium), which finally arrived at a peace treaty on Christmas Eve of December 1814, of which news finally reached America in February 1815.</t>
  </si>
  <si>
    <t>February 17, 1740</t>
  </si>
  <si>
    <t>Somersworth, Province of New Hampshire, British America</t>
  </si>
  <si>
    <t xml:space="preserve">	January 23, 1795</t>
  </si>
  <si>
    <t>Durham, New Hampshire, U.S.</t>
  </si>
  <si>
    <t>Marshfield, Massachusetts</t>
  </si>
  <si>
    <t>Richelieu River, near Chambly, Province of Quebec, British America</t>
  </si>
  <si>
    <t>March 6, 1726</t>
  </si>
  <si>
    <t>Zorita, Extremadura, Spain</t>
  </si>
  <si>
    <t>March 24, 1806</t>
  </si>
  <si>
    <t>Madrid, Spain</t>
  </si>
  <si>
    <t>José de Solano y Bote, 1st Marquess of Socorro (March 6, 1726 – March 24, 1806), was a Spanish naval officer.</t>
  </si>
  <si>
    <t>March 19, 1712</t>
  </si>
  <si>
    <t>Andover, Massachusetts,</t>
  </si>
  <si>
    <t>July 25, 1794</t>
  </si>
  <si>
    <t>Joseph Frye (March 19, 1712 – July 25, 1794) was a renowned military leader from colonial Maine (then a part of Massachusetts).</t>
  </si>
  <si>
    <t>Henry County, Virginia.</t>
  </si>
  <si>
    <t>Caroline County, Virginia,</t>
  </si>
  <si>
    <t>Joseph Martin, Jr. (1740–1808) was a brigadier general in the Virginia militia during the American Revolutionary War, in which Martin's frontier diplomacy with the Cherokee people is credited with not only averting Indian attacks on the Scotch-Irish American and English American settlers who helped win the battles of Kings Mountain and Cowpens, but with also helping to keep the Indians' position neutral and from siding with the British troops during those crucial battles. Historians agree that the settlers' success at these two battles signaled the turning of the tide of the Revolutionary War—in favor of the Americans.</t>
  </si>
  <si>
    <t>March 31, 1716</t>
  </si>
  <si>
    <t>Shaugh Prior, Devonshire, England</t>
  </si>
  <si>
    <t>Joseph Palmer (1716–1788) was an American general during the American Revolutionary War.</t>
  </si>
  <si>
    <t>October 3, 1714</t>
  </si>
  <si>
    <t>East Haddam, Connecticut, British America</t>
  </si>
  <si>
    <t>East Haddam, Connecticut, U.S.</t>
  </si>
  <si>
    <t>June 11, 1741</t>
  </si>
  <si>
    <t>Roxbury, Province of Massachusetts Bay</t>
  </si>
  <si>
    <t>June 17, 1775</t>
  </si>
  <si>
    <t>Breed's Hill, Charlestown, Province of Massachusetts Bay, British America</t>
  </si>
  <si>
    <t>Westerly, Rhode Island</t>
  </si>
  <si>
    <t>Joshua Babcock (1707–1783) was a physician, American Revolution general, Rhode Island Supreme Court justice, and postmaster from Westerly, Rhode Island.</t>
  </si>
  <si>
    <t>Coruña</t>
  </si>
  <si>
    <t>Madrid</t>
  </si>
  <si>
    <t>Juan Francisco de Lángara y Huarte (Juan Francisco Langara Uharte in Basque) (1736 in Coruña, Galicia – 1806 in Madrid) was a Spanish naval officer and Minister of Marine.</t>
  </si>
  <si>
    <t xml:space="preserve">	March 4, 1745</t>
  </si>
  <si>
    <t>Warsaw, Polish–Lithuanian Commonwealth</t>
  </si>
  <si>
    <t>October 11, 1779</t>
  </si>
  <si>
    <t>Thunderbolt, Georgia, U.S.</t>
  </si>
  <si>
    <t xml:space="preserve">	4 June 1738</t>
  </si>
  <si>
    <t>Norfolk House, St James's Square, London, England</t>
  </si>
  <si>
    <t xml:space="preserve">	29 January 1820</t>
  </si>
  <si>
    <t>Windsor Castle, Berkshire, England</t>
  </si>
  <si>
    <t>23 August 1754</t>
  </si>
  <si>
    <t>Palace of Versailles, France</t>
  </si>
  <si>
    <t xml:space="preserve">	21 January 1793</t>
  </si>
  <si>
    <t>Place de la Révolution, Paris, France</t>
  </si>
  <si>
    <t>March 17, 1725</t>
  </si>
  <si>
    <t>Raits, Badenoch, Scotland</t>
  </si>
  <si>
    <t>February 20, 1806</t>
  </si>
  <si>
    <t>Savannah, Georgia, U.S.</t>
  </si>
  <si>
    <t>Lachlan McIntosh (March 17, 1725 – February 20, 1806) was a Scottish American military and political leader during the American Revolution and the early United States. In a 1777 duel, he fatally shot Button Gwinnett, a signer of the Declaration of Independence.</t>
  </si>
  <si>
    <t>4 April 1716</t>
  </si>
  <si>
    <t>Homberg in Niederhesse</t>
  </si>
  <si>
    <t>19 November 1777</t>
  </si>
  <si>
    <t>Hesse-Cassel</t>
  </si>
  <si>
    <t>12 November 1729</t>
  </si>
  <si>
    <t xml:space="preserve">	31 August 1811</t>
  </si>
  <si>
    <t>27 February 1717</t>
  </si>
  <si>
    <t>Avignon</t>
  </si>
  <si>
    <t>June 1796</t>
  </si>
  <si>
    <t>16 November 1725</t>
  </si>
  <si>
    <t>Château de Rambouillet, France</t>
  </si>
  <si>
    <t>4 March 1793</t>
  </si>
  <si>
    <t>Château de Bizy, Vernon, France</t>
  </si>
  <si>
    <t>Louis Jean Marie de Bourbon (16 November 1725 – 4 March 1793) was the son of Louis Alexandre de Bourbon and his wife Marie Victoire de Noailles. He was therefore a grandson of Louis XIV of France and his mistress, Madame de Montespan. From birth he was known as the Duke of Penthièvre. He also possessed the following titles: Prince of Lamballe (given later as a courtesy title to the duke's only surviving son); Prince of Carignano; Duke of Rambouillet; Duke of Aumale (1775); Duke of Gisors; Duke of Châteauvillain; Duke of Arc-en-Barrois; Duke of Amboise; Count of Eu; Count of Guingamp. He was the father in law of Philippe Égalité.</t>
  </si>
  <si>
    <t>14 May 1743</t>
  </si>
  <si>
    <t xml:space="preserve">	12 August 1802</t>
  </si>
  <si>
    <t xml:space="preserve">	21 June 1712</t>
  </si>
  <si>
    <t>Fougères, Ille-et-Vilaine, Kingdom of France</t>
  </si>
  <si>
    <t>13 January 1790</t>
  </si>
  <si>
    <t>Morlaix, Kingdom of France</t>
  </si>
  <si>
    <t>8 February 1706</t>
  </si>
  <si>
    <t>Sevilla, Spain</t>
  </si>
  <si>
    <t xml:space="preserve">	29 July 1796</t>
  </si>
  <si>
    <t>Cádiz, Spain</t>
  </si>
  <si>
    <t>Weymouth</t>
  </si>
  <si>
    <t xml:space="preserve">	31 January 1794</t>
  </si>
  <si>
    <t>Admiral Mariot Arbuthnot (1711 – 31 January 1794) was a British admiral, who commanded the Royal Navy's North American station during the American War for Independence.</t>
  </si>
  <si>
    <t>Macharaviaya, Málaga, Spain</t>
  </si>
  <si>
    <t xml:space="preserve">	November 3, 1784</t>
  </si>
  <si>
    <t>Mexico City, New Spain</t>
  </si>
  <si>
    <t>Matías de Gálvez y Gallardo, KOS (1717 – November 3, 1784) was a Spanish general, the Captain General of Guatemala from April 1779 to 3 April 1783, and Viceroy of New Spain from 29 April 1783 to 3 November 1784.</t>
  </si>
  <si>
    <t>Kingdom of Ireland</t>
  </si>
  <si>
    <t>September 7, 1801</t>
  </si>
  <si>
    <t>Matthew Locke (1730 – September 7, 1801) was a general during the American Revolutionary War, a wagon driver, and a U.S. Congressman from North Carolina between 1793 and 1799.</t>
  </si>
  <si>
    <t>c. 1737</t>
  </si>
  <si>
    <t>Matthias Alexis Roche de Fermoy (c. 1737 – after 1778) was a French volunteer soldier who served as a brigadier general in the Continental Army. Born in the West Indies, he was one of several foreigners given command positions in the army in 1776 (the Marquis de Lafayette being one of the more famous of these). Fermoy's tenure as a brigadier general was marked by disgrace. Although he performed competently leading a brigade during the December 26, 1776 Battle of Trenton, he abandoned his brigade while it occupied a forward defensive position opposing the British advance prior to the Battle of the Assunpink Creek. In July 1777 his force was occupying Mount Independence, part of the defenses around Fort Ticonderoga in northern New York, prior to General John Burgoyne's advance. When the decision was made to secretly abandon the works on the morning of July 6, Fermoy endangered the operation by setting fire to his quarters at 2 am. After he was rejected for promotion to major general, he resigned in January 1778, and returned to the West Indies.</t>
  </si>
  <si>
    <t>Karcag, Habsburg monarchy</t>
  </si>
  <si>
    <t>May 11, 1779</t>
  </si>
  <si>
    <t>Maryland, British America</t>
  </si>
  <si>
    <t>South Carolina, U.S.</t>
  </si>
  <si>
    <t>Mordecai Gist (1743–1792) was a member of a prominent Maryland family who became a brigadier general in command of the Maryland Line in the Continental Army during the American Revolutionary War.</t>
  </si>
  <si>
    <t>June 1, 1733</t>
  </si>
  <si>
    <t>Haverhill, Province of Massachusetts Bay</t>
  </si>
  <si>
    <t>February 5, 1803</t>
  </si>
  <si>
    <t>Troy, New York</t>
  </si>
  <si>
    <t>Moses Hazen (June 1, 1733 – February 5, 1803) was a brigadier general in the Continental Army during the American Revolutionary War. Born in the Province of Massachusetts Bay, he saw action in the French and Indian War with Rogers' Rangers. His service included particularly brutal raids, during the Expulsion of the Acadians and the 1759 Battle of Quebec. He was formally commissioned into the British Army, shortly before the war ended, and retired on half-pay outside Montreal, Province of Quebec, where he and Gabriel Christie, another British officer, made extensive land purchases in partnership. During his lifetime he acquired land in Quebec, New Hampshire, Vermont, and New York, but lost most of his Quebec land due to litigation, with Christie and the negative effects of the Revolution.</t>
  </si>
  <si>
    <t>August 7, 1742</t>
  </si>
  <si>
    <t>Mulberry Grove, Georgia</t>
  </si>
  <si>
    <t>September 28, 1726</t>
  </si>
  <si>
    <t>May 26, 1790</t>
  </si>
  <si>
    <t>Nathaniel Folsom (September 28, 1726 – May 26, 1790) was an American merchant and statesman. He was a delegate for New Hampshire in the Continental Congress in 1774 and 1777 to 1780, signing the Continental Association. He served as major general of the New Hampshire Militia during the American Revolutionary War.</t>
  </si>
  <si>
    <t>c. 1728</t>
  </si>
  <si>
    <t>German Flatts, New York</t>
  </si>
  <si>
    <t xml:space="preserve">	Aug 16, 1777</t>
  </si>
  <si>
    <t>Brigadier General Nicholas Herkimer (also known as Nikolaus Herchheimer; c. 1728 – August 16, 1777) was an American Palatine military officer who fought during the Revolutionary War. He died of wounds after the Battle of Oriskany.</t>
  </si>
  <si>
    <t xml:space="preserve">	September 17, 1718</t>
  </si>
  <si>
    <t>New York City, Province of New York, British North America</t>
  </si>
  <si>
    <t>October 27, 1785</t>
  </si>
  <si>
    <t>Beverley, Yorkshire, England</t>
  </si>
  <si>
    <t>Major-General Oliver De Lancey (September 17, 1718 – October 27, 1785) was a merchant and Loyalist politician and soldier during the American Revolutionary War. His surname is also sometimes written as de Lancey or Delancey.</t>
  </si>
  <si>
    <t xml:space="preserve">	March 1, 1749</t>
  </si>
  <si>
    <t>Prince George's County, Maryland</t>
  </si>
  <si>
    <t>July 15, 1794</t>
  </si>
  <si>
    <t>Woodstock, Virginia</t>
  </si>
  <si>
    <t>Otho Holland Williams (March 1, 1749 – July 15, 1794) was a Continental Army officer from Maryland in the American Revolutionary War. He participated in many battles throughout the war in the New York, New Jersey and Southern theaters, eventually ending his career as a brigadier general.</t>
  </si>
  <si>
    <t>May 6, 1748</t>
  </si>
  <si>
    <t>Duxbury, Province of Massachusetts Bay, British America</t>
  </si>
  <si>
    <t>November 12, 1829</t>
  </si>
  <si>
    <t>Hiram, Maine, U.S.</t>
  </si>
  <si>
    <t>April 5, 1739</t>
  </si>
  <si>
    <t>rappe, Province of Maryland</t>
  </si>
  <si>
    <t>February 4, 1809</t>
  </si>
  <si>
    <t>Philemon Dickinson (April 5, 1739 – February 4, 1809) was an American lawyer and politician from Trenton, New Jersey. As a brigadier general of the New Jersey militia, he was one of the most effective militia officers of the American Revolutionary War. He was also a Continental Congressman from Delaware and a United States Senator from New Jersey.</t>
  </si>
  <si>
    <t>September 8, 1738</t>
  </si>
  <si>
    <t>September 11, 1777</t>
  </si>
  <si>
    <t>Reims, France</t>
  </si>
  <si>
    <t>Philippe Charles Jean Baptiste Tronson du Coudray (September 8, 1738 – September 11, 1777) was a French army officer who volunteered for service in the Continental Army during the American Revolutionary War.</t>
  </si>
  <si>
    <t>November 20, 1733</t>
  </si>
  <si>
    <t>Albany, Province of New York, British America</t>
  </si>
  <si>
    <t xml:space="preserve">	November 18, 1804</t>
  </si>
  <si>
    <t>Albany, New York, U.S.</t>
  </si>
  <si>
    <t>20 January 1724</t>
  </si>
  <si>
    <t>Paris, Isle-de-France, Kingdom of France</t>
  </si>
  <si>
    <t>3 August 1801</t>
  </si>
  <si>
    <t>Paris, Seine-et-Marne, French Consulate</t>
  </si>
  <si>
    <t>Philippe Henri, Marquis de Ségur (20 January 1724 – 3 October 1801) was a grandson of Philippe II, Duke of Orléans, nobleman, Marshal of France, and Secretary of State for War under Louis XV and later Louis XVI.</t>
  </si>
  <si>
    <t>17 September 1717</t>
  </si>
  <si>
    <t>Liège, Prince-Bishopric of Liège</t>
  </si>
  <si>
    <t>30 May 1789</t>
  </si>
  <si>
    <t>Brussels</t>
  </si>
  <si>
    <t>Philippe Hubert, Chevalier de Preudhomme de Borre (Liège, 17 September 1717 – Brussels, 30 May 1789) joined the French Army in 1740 and served in the War of the Austrian Succession. During the American Revolutionary War he traveled to America where he was presented as a military expert. Promoted to general officer, his career as a Continental Army officer was brief and undistinguished. He resigned under a cloud and returned to France in 1779. His career ended in obscurity.</t>
  </si>
  <si>
    <t>17 July 1729</t>
  </si>
  <si>
    <t>Château de Saint-Cannat, France</t>
  </si>
  <si>
    <t>8 December 1788</t>
  </si>
  <si>
    <t xml:space="preserve">	August 3, 1729</t>
  </si>
  <si>
    <t>Harford County (present-day Baltimore), Maryland</t>
  </si>
  <si>
    <t xml:space="preserve">	November 10, 1789</t>
  </si>
  <si>
    <t>Fayetteville, North Carolina</t>
  </si>
  <si>
    <t>Richard Caswell (August 3, 1729 – November 10, 1789) was an American politician and lawyer who served as the first and fifth governor of the U.S. state of North Carolina from 1776 to 1780 and from 1785 to 1787. He also served as a senior officer of militia in the Southern theater of the American Revolutionary War. As a delegate to the First Continental Congress, he was a signatory of the 1774 Continental Association.</t>
  </si>
  <si>
    <t xml:space="preserve">	8 March 1726</t>
  </si>
  <si>
    <t xml:space="preserve">	5 August 1799</t>
  </si>
  <si>
    <t>Admiral of the Fleet Richard Howe, 1st Earl Howe, KG (8 March 1726 – 5 August 1799), was a British naval officer. After serving throughout the War of the Austrian Succession, he gained a reputation for his role in amphibious operations against the French coast as part of Britain's policy of naval descents during the Seven Years' War. He also took part, as a naval captain, in the decisive British naval victory at the Battle of Quiberon Bay in November 1759.</t>
  </si>
  <si>
    <t>2 December 1738</t>
  </si>
  <si>
    <t>Swords, Dublin, Ireland</t>
  </si>
  <si>
    <t>31 December 1775</t>
  </si>
  <si>
    <t>Quebec City, Province of Quebec, British America</t>
  </si>
  <si>
    <t>Richard Montgomery (2 December 1738 – 31 December 1775) was an Irish soldier who first served in the British Army. He later became a major general in the Continental Army during the American Revolutionary War, and he is most famous for leading the unsuccessful 1775 invasion of Quebec.</t>
  </si>
  <si>
    <t>Jamestown
Province of Virginia</t>
  </si>
  <si>
    <t>South Carolina</t>
  </si>
  <si>
    <t>Richard Richardson (1704–1780) was an American planter and military officer from Clarendon County, South Carolina who served as a brigadier general in the American Revolutionary War.</t>
  </si>
  <si>
    <t xml:space="preserve">	13 May 1794</t>
  </si>
  <si>
    <t>Gibraltar</t>
  </si>
  <si>
    <t>Lieutenant-General Sir Robert Boyd KB (c. 1710 – 13 May 1794) was a British Army officer.</t>
  </si>
  <si>
    <t>New Hanover County, Province of North Carolina</t>
  </si>
  <si>
    <t xml:space="preserve">	December 14, 1786</t>
  </si>
  <si>
    <t>Bladen County, North Carolina</t>
  </si>
  <si>
    <t>Robert Howe (/haʊ/; c. 1732 – December 14, 1786) was a Continental Army general from the Province of North Carolina during the American Revolutionary War. The descendant of a prominent family in North Carolina, Howe was one of five generals, and the only major general, in the Continental Army from that state. He also played a role in the colonial and state governments of North Carolina, serving in the legislative bodies of both.</t>
  </si>
  <si>
    <t>January 23, 1748</t>
  </si>
  <si>
    <t>March 28, 1805</t>
  </si>
  <si>
    <t>Richmond, Virginia</t>
  </si>
  <si>
    <t>Robert Lawson (January 23, 1748 – March 28, 1805) was an officer from Virginia in the American Revolutionary War.</t>
  </si>
  <si>
    <t xml:space="preserve">	April 9, 1738</t>
  </si>
  <si>
    <t>Sutton, Massachusetts</t>
  </si>
  <si>
    <t xml:space="preserve">	c. 1737</t>
  </si>
  <si>
    <t>Augusta County, Virginia, British America</t>
  </si>
  <si>
    <t>January 20, 1807</t>
  </si>
  <si>
    <t>Staunton, Virginia, U.S.</t>
  </si>
  <si>
    <t>Sampson Mathews (c. 1737 – January 20, 1807) was an American merchant, soldier, and legislator in the colony (and later U.S. state) of Virginia.</t>
  </si>
  <si>
    <t>Savannah, Georgia, British America</t>
  </si>
  <si>
    <t>November 1, 1788</t>
  </si>
  <si>
    <t>Samuel Elbert (1740 – November 1, 1788) was an American merchant, soldier, and politician from Savannah, Georgia.</t>
  </si>
  <si>
    <t>17 April 1713</t>
  </si>
  <si>
    <t>Castledawson</t>
  </si>
  <si>
    <t>8 March 1787</t>
  </si>
  <si>
    <t>Devon, England</t>
  </si>
  <si>
    <t>Admiral Samuel Graves (17 April 1713 – 8 March 1787) was a British Royal Navy admiral who is probably best known for his role early in the American Revolutionary War.</t>
  </si>
  <si>
    <t>May 14, 1737</t>
  </si>
  <si>
    <t>Lyme, Connecticut</t>
  </si>
  <si>
    <t>Beaver River (Pennsylvania)</t>
  </si>
  <si>
    <t>12 December 1724</t>
  </si>
  <si>
    <t>Butleigh, Somerset, England</t>
  </si>
  <si>
    <t xml:space="preserve">	27 January 1816</t>
  </si>
  <si>
    <t>4 January 1730 </t>
  </si>
  <si>
    <t>17 October 1807</t>
  </si>
  <si>
    <t>Samuel McClellan (January 4, 1730 – October 17, 1807) was an American brigadier general in the American Revolutionary War. He was born in Worcester, Massachusetts.</t>
  </si>
  <si>
    <t>February 10, 1817</t>
  </si>
  <si>
    <t>Belmont Corners, Pennsylvania, U.S.</t>
  </si>
  <si>
    <t>Samuel Meredith (1741 – February 10, 1817) was an American merchant from Philadelphia, Pennsylvania. He was a delegate for Pennsylvania to the Continental Congress from 1786 to 1788.</t>
  </si>
  <si>
    <t>March 11, 1740</t>
  </si>
  <si>
    <t>December 29, 1805</t>
  </si>
  <si>
    <t>Montgomery County, Pennsylvania</t>
  </si>
  <si>
    <t>Whitemarsh, Pennsylvania,</t>
  </si>
  <si>
    <t>Samuel Miles (March 11, 1740 – December 29, 1805) was an American military officer and politician, as well as an influential businessman and politician, active in Pennsylvania before, during, and after the American Revolutionary War.</t>
  </si>
  <si>
    <t>May 17, 1743</t>
  </si>
  <si>
    <t>Woodbury, Colony of Connecticut</t>
  </si>
  <si>
    <t>December 26, 1784</t>
  </si>
  <si>
    <t>oxbury, Connecticut</t>
  </si>
  <si>
    <t>26 May 1729</t>
  </si>
  <si>
    <t>Balnain, Inverness-shire, Scotland</t>
  </si>
  <si>
    <t xml:space="preserve">	7 October 1777</t>
  </si>
  <si>
    <t>Bemis Heights, Saratoga, Province of New York, Great Britain</t>
  </si>
  <si>
    <t>Simon Fraser (1729 – 7 October 1777) was a British general during the American War of Independence. He was killed in the Battle of Bemis Heights during the Saratoga Campaign. The shot that killed Fraser is often attributed to Timothy Murphy, of Daniel Morgan's Rifle Corps, which was assigned to the Left and under the command of Benedict Arnold, who was leading Morgan's men as well as Dearborn, Cilley, Poor, and the rest of the American left wing, which was attempting to push back the reconnaissance in force led by Simon Fraser on the Barber Wheatfield.</t>
  </si>
  <si>
    <t>4 February 1746</t>
  </si>
  <si>
    <t>Mereczowszczyzna, Polish–Lithuanian Commonwealth</t>
  </si>
  <si>
    <t>15 October 1817</t>
  </si>
  <si>
    <t>Solothurn, Switzerland</t>
  </si>
  <si>
    <t>Duck Creek, Delaware Colony</t>
  </si>
  <si>
    <t>March 29, 1789</t>
  </si>
  <si>
    <t>Smyrna, Delaware</t>
  </si>
  <si>
    <t>Thomas Collins (1732 – March 29, 1789) was an American planter and politician from Smyrna, in Kent County, Delaware. He was an officer of the Delaware militia during the American Revolution, and served in the Delaware General Assembly and as President of Delaware.</t>
  </si>
  <si>
    <t xml:space="preserve">	March, 1795</t>
  </si>
  <si>
    <t>Bath, Somerset, England</t>
  </si>
  <si>
    <t>9 February 1782 </t>
  </si>
  <si>
    <t>Chennai </t>
  </si>
  <si>
    <t>North Carolina</t>
  </si>
  <si>
    <t>une 1809</t>
  </si>
  <si>
    <t>Eaton's Ferry, Warren County, North Carolina</t>
  </si>
  <si>
    <t>Thomas Eaton (c. 1739 – June 1809) was a military officer in the North Carolina militia during the War of the Regulation in 1771 and American Revolutionary War from 1775 to 1784. He was a member of the North Carolina Provincial Congress and North Carolina House of Commons for several terms simultaneously with his military service. Eaton was a member of the North Carolina Council of State under Governor Richard Caswell. Eaton commanded soldiers in the battles of Brier Creek and Guilford Courthouse. At the time of the 1790 census, Eaton was one of the largest slaveholders in North Carolina.</t>
  </si>
  <si>
    <t>Firle, Sussex, England</t>
  </si>
  <si>
    <t>2 April 1787</t>
  </si>
  <si>
    <t>Portland Place, London, England</t>
  </si>
  <si>
    <t>General Thomas Gage (10 March 1718/19 – 2 April 1787) was a British Army general officer and colonial official best known for his many years of service in North America, including his role as British commander-in-chief in the early days of the American Revolution.</t>
  </si>
  <si>
    <t>23 October 1725</t>
  </si>
  <si>
    <t>Plymouth, England</t>
  </si>
  <si>
    <t>9 February 1802</t>
  </si>
  <si>
    <t>November 4, 1732</t>
  </si>
  <si>
    <t>St. Leonard, Maryland, British America</t>
  </si>
  <si>
    <t xml:space="preserve">	October 26, 1819</t>
  </si>
  <si>
    <t>Frederick, Maryland, U.S.</t>
  </si>
  <si>
    <t xml:space="preserve">	January 10, 1744</t>
  </si>
  <si>
    <t>Philadelphia, Province of Pennsylvania, British America</t>
  </si>
  <si>
    <t xml:space="preserve">	January 20, 1800</t>
  </si>
  <si>
    <t>Lancaster, Pennsylvania, U.S.</t>
  </si>
  <si>
    <t xml:space="preserve">	January 19, 1733</t>
  </si>
  <si>
    <t>Surry County, Colony of Virginia</t>
  </si>
  <si>
    <t>November 16, 1800</t>
  </si>
  <si>
    <t>Granville County, North Carolina</t>
  </si>
  <si>
    <t>Thomas Person (1733–1800) was an American politician, Anti-Federalist organizer, and brigadier general in command of the Hillsborough District Brigade of the North Carolina militia during the American Revolution.</t>
  </si>
  <si>
    <t>c.1722</t>
  </si>
  <si>
    <t>c. 1798</t>
  </si>
  <si>
    <t xml:space="preserve">	August 14, 1734</t>
  </si>
  <si>
    <t>Hanover County, Virginia Colony, British America</t>
  </si>
  <si>
    <t>June 1, 1832</t>
  </si>
  <si>
    <t>Stateburg, South Carolina</t>
  </si>
  <si>
    <t>Thomas Sumter (August 14, 1734 – June 1, 1832) was a soldier in the Virginia colonial militia, a brigadier general in the South Carolina militia during the American Revolution, a planter, and a politician. After the United States gained independence, he was elected to the United States House of Representatives and to the United States Senate, where he served from 1801 to 1810. Sumter was nicknamed the "Fighting Gamecock" for his fierce fighting style against British soldiers during the Revolutionary War.</t>
  </si>
  <si>
    <t>1 July 1720</t>
  </si>
  <si>
    <t>Rennes, France</t>
  </si>
  <si>
    <t>10 June 1791</t>
  </si>
  <si>
    <t>Brest, France</t>
  </si>
  <si>
    <t>4 November 1716</t>
  </si>
  <si>
    <t xml:space="preserve">	7 December 1800</t>
  </si>
  <si>
    <t>Kassel</t>
  </si>
  <si>
    <t xml:space="preserve">	4 December 1726</t>
  </si>
  <si>
    <t>New York City, Province of New York</t>
  </si>
  <si>
    <t>15 January, 1783</t>
  </si>
  <si>
    <t xml:space="preserve">	October 23, 1724</t>
  </si>
  <si>
    <t>Bertie Precinct, Province of North Carolina</t>
  </si>
  <si>
    <t>November 28, 1781</t>
  </si>
  <si>
    <t>Johnston County, North Carolina</t>
  </si>
  <si>
    <t>September 24, 1754</t>
  </si>
  <si>
    <t>Johnston County (present-day Lenoir County), North Carolina</t>
  </si>
  <si>
    <t>January 6, 1785</t>
  </si>
  <si>
    <t>Kinston, North Carolina</t>
  </si>
  <si>
    <t>William Caswell (September 24, 1754 – January 6, 1785) was an American politician, lawyer, and planter. Besides service on state court benches, he represented Dobbs County in the North Carolina House of Commons from 1779 to 1784. He was also a senior officer who commanded militia during the American Revolution.</t>
  </si>
  <si>
    <t>16 February 1807</t>
  </si>
  <si>
    <t>William Dalrymple (1736 – 16 February 1807) was a Scottish soldier and Member of Parliament (MP) in the British Parliament and Parliament of Ireland. He was the son of the Hon. George Dalrymple, brother of John Dalrymple, 5th Earl of Stair. Father of John Dalrymple, 7th Earl of Stair.</t>
  </si>
  <si>
    <t>19 March 1795</t>
  </si>
  <si>
    <t>Lieutenant-General Sir William Erskine, 1st Baronet (1728 – 19 March 1795) was a British Army commander and the 1st Baronet of the Erskine of Torrie creation.</t>
  </si>
  <si>
    <t>General Sir William Fawcett KB (1727–1804) was an Adjutant-General to the Forces.</t>
  </si>
  <si>
    <t>4 April 1725</t>
  </si>
  <si>
    <t>10 January 1811</t>
  </si>
  <si>
    <t>Bifrons, near Canterbury, Kent, England</t>
  </si>
  <si>
    <t>General Sir William Green, 1st Baronet, of Marass, Kent (4 April 1725 – 10 January 1811) was an officer in the British Army.</t>
  </si>
  <si>
    <t>March 2, 1737</t>
  </si>
  <si>
    <t>January 24, 1814</t>
  </si>
  <si>
    <t>Roxbury, Massachusetts</t>
  </si>
  <si>
    <t>10 August 1729</t>
  </si>
  <si>
    <t>12 July 1814</t>
  </si>
  <si>
    <t>Twickenham, United Kingdom</t>
  </si>
  <si>
    <t>William Howe, 5th Viscount Howe, KB PC (10 August 1729 – 12 July 1814), was a British Army officer who rose to become Commander-in-Chief of British land forces in the Colonies during the American War of Independence. Howe was one of three brothers who had distinguished military careers. In historiography of the American war he is usually referred to as Sir William Howe to distinguish him from his brother Richard, who was 4th Viscount Howe at that time.</t>
  </si>
  <si>
    <t>November 3, 1741</t>
  </si>
  <si>
    <t>Enniskillen, County Fermanagh, Kingdom of Ireland</t>
  </si>
  <si>
    <t>July 29, 1804</t>
  </si>
  <si>
    <t>William Irvine (November 3, 1741 – July 29, 1804) was an Irish-American physician, soldier, and statesman from Carlisle, Pennsylvania. He practiced medicine as a ship's surgeon for the Royal Navy before he sympathized with the American Revolution and fought against the British during the American Revolutionary War. As tensions escalated between the American colonies and the British government during the 1770s, Irvine sympathized and allied himself with the revolutionary cause. He subsequently served as a brigadier general in the American Revolutionary War and served in the western theater. After the war he served in the Continental Congress, and later played an active role in ending the Whiskey Rebellion in Pennsylvania. He also served one term in Congress representing Pennsylvania, and was also active in the state's other public affairs.</t>
  </si>
  <si>
    <t>Lancaster County, Pennsylvania</t>
  </si>
  <si>
    <t>February 1, 1781</t>
  </si>
  <si>
    <t>Mecklenburg County, North Carolina</t>
  </si>
  <si>
    <t>William Lee Davidson (1746–1781) was an officer in the North Carolina militia and Continental Army during the American Revolutionary War. He was born in Pennsylvania and moved with his family to Rowan County, North Carolina in 1750. He was killed at the Battle of Cowan's Ford.</t>
  </si>
  <si>
    <t xml:space="preserve">	c. 1733</t>
  </si>
  <si>
    <t>County Tyrone, Kingdom of Ireland</t>
  </si>
  <si>
    <t>November 4, 1796</t>
  </si>
  <si>
    <t>Lansdown, Hunterdon County, New Jersey</t>
  </si>
  <si>
    <t>William Maxwell (1733 – November 4, 1796) was an Irish-born brigadier general in the Continental Army during the American Revolutionary War.</t>
  </si>
  <si>
    <t>14 November 1813</t>
  </si>
  <si>
    <t>General Sir William Medows KB (31 December 1738 – 14 November 1813) was an Englishman and a general in the British Army. He entered the army in 1756 and saw action in North America, the Cape, and India. In 1788 he was appointed Governor of Bombay, transferring to become Governor of Madras in 1790.</t>
  </si>
  <si>
    <t>November 23, 1730</t>
  </si>
  <si>
    <t>Charlestown, Province of South Carolina, British America</t>
  </si>
  <si>
    <t>September 27, 1805</t>
  </si>
  <si>
    <t xml:space="preserve">	2 May 1737</t>
  </si>
  <si>
    <t xml:space="preserve">	7 May 1805</t>
  </si>
  <si>
    <t>Westminster, England</t>
  </si>
  <si>
    <t>13 May 1781</t>
  </si>
  <si>
    <t>Petersburg, Virginia</t>
  </si>
  <si>
    <t>William Phillips (1731 – 13 May 1781) was a renowned artilleryman and general officer in the British Army who served as a major-general in the American War of Independence.</t>
  </si>
  <si>
    <t xml:space="preserve">	December 25, 1728</t>
  </si>
  <si>
    <t>Berkely, Perquimans County, North Carolina</t>
  </si>
  <si>
    <t xml:space="preserve">	January 26, 1798</t>
  </si>
  <si>
    <t>Perquimans County, North Carolina</t>
  </si>
  <si>
    <t>February 14, 1792</t>
  </si>
  <si>
    <t>Marbury, Maryland, U.S.</t>
  </si>
  <si>
    <t>April 26th, 1726</t>
  </si>
  <si>
    <t>September 3, 1781</t>
  </si>
  <si>
    <t>William Thompson (April 26th, 1726 - September 3, 1781) was a soldier from Pennsylvania who served as a colonel and later brigadier general in the Continental Army during the American Revolutionary War.</t>
  </si>
  <si>
    <t>North Kingstown, Colony of Rhode Island and Providence Plantations</t>
  </si>
  <si>
    <t>Scituate, Rhode Island</t>
  </si>
  <si>
    <t xml:space="preserve">	January 14, 1730</t>
  </si>
  <si>
    <t>Kittery, Massachusetts Bay (now Maine), British America</t>
  </si>
  <si>
    <t>November 28, 1785</t>
  </si>
  <si>
    <t>New Hampshire, U.S.</t>
  </si>
  <si>
    <t>5 January 1717</t>
  </si>
  <si>
    <t>Beckett, Shrivenham, Berkshire, England</t>
  </si>
  <si>
    <t>1 February 1793</t>
  </si>
  <si>
    <t>Beckett Hall, Shrivenham, Berkshire</t>
  </si>
  <si>
    <t>October 6, 1734</t>
  </si>
  <si>
    <t>Caroline County, Virginia Colony</t>
  </si>
  <si>
    <t>November 13, 1780</t>
  </si>
  <si>
    <t>Catalan Antoni Barceló i Pont de la Terra</t>
  </si>
  <si>
    <t>April 1, 1801</t>
  </si>
  <si>
    <t>September 13, 1803</t>
  </si>
  <si>
    <t>March 1, 1815</t>
  </si>
  <si>
    <t xml:space="preserve">	December 25, 1788</t>
  </si>
  <si>
    <t>January 13, 1789</t>
  </si>
  <si>
    <t>June 19, 1786</t>
  </si>
  <si>
    <t>Exeter, New Hampshire</t>
  </si>
  <si>
    <t>May 4, 1824</t>
  </si>
  <si>
    <t>Adam Stephen (c. 1718 – 16 July 1791) was a Scottish-born American doctor and military officer who helped found what became Martinsburg, West Virginia. He emigrated to North America, where he served in the Province of Virginia's militia under George Washington during the French and Indian War. He served under Washington again in the American Revolutionary War, rising to lead a division of the Continental Army. After a friendly fire incident during the Battle of Germantown, Stephen was cashiered out of the army, but continued as a prominent citizen of western Virginia, including terms in the Virginia General Assembly representing Berkeley County.</t>
  </si>
  <si>
    <t>Alexander McDougall (1732– 9 June 1786) was a Scottish-born American seaman, merchant, a Sons of Liberty leader from New York City before and during the American Revolution, and a military leader during the Revolutionary War. He served as a major general in the Continental Army, and as a delegate to the Continental Congress. After the war, he was the president of the first bank in the state of New York and served a term in the New York State Senate.</t>
  </si>
  <si>
    <t>Andrew Lewis (October 9, 1720 – September 26, 1781) was an Irish-born American pioneer, surveyor, military officer and politician in Colonial Virginia and during the American Revolutionary War. A colonel of militia during the French and Indian War, and brigadier general in the American Revolutionary War, his most famous victory was the Battle of Point Pleasant in Dunmore's War in 1774, although he also drove Lord Dunmore's forces from Norfolk and Gwynn's Island in 1776. He also helped found Liberty Hall (later Washington and Lee University) in 1776</t>
  </si>
  <si>
    <t>Brigadier-General Andrew Williamson (c. 1730–1786) was a Scottish-born trader, planter, and military officer. Serving in the South Carolina Militia, rising to be commissioned as brigadier general in the Continental Army in the American War of Independence. He led numerous campaigns against Loyalists and Cherokee, who in 1776 had launched an attack against frontier settlements across a front from Tennessee to central South Carolina. Williamson was particularly effective in suppressing the Cherokee, killing an unknown number of Cherokees and destroying 31 of their towns. As a result of his Indian campaign, the Cherokee ceded more than a million acres in the Carolinas.</t>
  </si>
  <si>
    <t>Anthony Wayne (January 1, 1745 – December 15, 1796) was an American soldier, officer, statesman, and one of the Founding Fathers of the United States. He adopted a military career at the outset of the American Revolutionary War, where his military exploits and fiery personality quickly earned him promotion to brigadier general and the nickname "Mad Anthony". He later served as the Senior Officer of the Army on the Ohio Country frontier and led the Legion of the United States.</t>
  </si>
  <si>
    <t>Armand Louis de Gontaut (French pronunciation: ​), duc de Lauzun, later duc de Biron, and usually referred to by historians of the French Revolution simply as Biron (13 April 1747 – 31 December 1793) was a French soldier and politician, known for the part he played in the American War of Independence and the French Revolutionary Wars. In 1773, he was Grand second warden of Grand Orient de France.</t>
  </si>
  <si>
    <t>Artemas Ward (November 26, 1727 – October 28, 1800) was an American major general in the American Revolutionary War and a Congressman from Massachusetts. He was considered an effective political leader, President John Adams describing him as "universally esteemed, beloved and confided in by his army and his country."</t>
  </si>
  <si>
    <t>Augustine Prévost (born Augustin Prevost) (22 August 1723 – 5-6 May 1786) was a Genevan soldier best known for his service in the British Army during the Seven Years' War and the American War of Independence.</t>
  </si>
  <si>
    <t>Sir Banastre Tarleton, 1st Baronet, GCB (21 August 1754 – 15 January 1833) was a British general and politician. He is best known as the lieutenant colonel leading the British Legion at the end of the American Revolution. He later served in Portugal and held commands in Ireland and England. Consequently, he had hoped to command British forces fighting the French in the Peninsular War. However, that position was given to Arthur Wellesley.</t>
  </si>
  <si>
    <t>Benedict Arnold (14 January 1741  – June 14, 1801) was an American-born military officer who served during the Revolutionary War. He fought with distinction for the American Continental Army and rose to the rank of major general before defecting to the British side of the conflict in 1780. General George Washington had given him his fullest trust and had placed him in command of West Point in New York. Arnold was planning to surrender the fort there to British forces, but the plot was discovered in September 1780, whereupon he fled to the British lines. In the later part of the conflict, Arnold was commissioned as a brigadier general in the British Army, and placed in command of the American Legion. He led the British army in battle against the soldiers whom he had once commanded, after which his name became, and has remained, synonymous with treason and betrayal in the United States.</t>
  </si>
  <si>
    <t>Benjamin Lincoln (January 24, 1733 (O.S. January 13, 1733) – May 9, 1810) was an American army officer. He served as a major general in the Continental Army during the American Revolutionary War. Lincoln was involved in three major surrenders during the war: his participation in the Battles of Saratoga (sustaining a wound shortly afterward) contributed to John Burgoyne's surrender of a British army, he oversaw the largest American surrender of the war at the 1780 siege of Charleston, and, as George Washington's second in command, he formally accepted the British surrender at Yorktown.</t>
  </si>
  <si>
    <t>Charles Armand Tuffin, marquis de la Rouërie (13 April 1751 – 30 January 1793), also known in the United States as "Colonel Armand," was a Breton cavalry officer who served under the American flag in the American War of Independence. He was promoted to brigadier general after the Battle of Yorktown. He is also known as a founder and early leader of the Breton Association (the Chouannerie) during the French Revolution. La Rouërie is less-remembered than Lafayette and others in writings of French participation in the Revolutionary war.</t>
  </si>
  <si>
    <t>Charles Gravier, comte de Vergennes (French pronunciation: ​; 29 December 1719 – 13 February 1787) was a French statesman and diplomat. He served as Foreign Minister from 1774 during the reign of Louis XVI, notably during the American War of Independence.</t>
  </si>
  <si>
    <t>Charles Lee (6 February 1732  – 2 October 1782) was an English-born American military officer who served as a general of the Continental Army during the American Revolutionary War. He also served earlier in the British Army during the Seven Years War. He sold his commission after the Seven Years War and served for a time in the Polish army of King Stanislaus II Augustus.</t>
  </si>
  <si>
    <t>Charles McDowell (1743–1815) was a Brigadier General of the Morgan District Brigade of the North Carolina Militia during the American Revolution, state senator, and County Justice of Peace in Burke County, North Carolina.</t>
  </si>
  <si>
    <t>Charles-Henri-Louis d'Arsac, chevalier de Ternay (27 January 1723 – 15 December 1780) was a French naval officer. Most active in the Seven Years' War and the War of American Independence, Ternay was the naval commander of a 1762 expedition that successfully captured St. John's Newfoundland. He was appointed commander of the Marine Royale, French naval forces, as part of the project code named Expédition Particulière that brought French troops to American soil in 1780. He died at Hunter House on Washington Street, which was headquarters for the French fleet in Newport, Rhode Island.</t>
  </si>
  <si>
    <t>Claude Louis, Comte de Saint-Germain (15 April 1707 – 15 January 1778), French general, was born on 15 April 1707, at the Château of Vertamboz.</t>
  </si>
  <si>
    <t>David Wooster (March 13, 1711  – May 2, 1777) was an American general who served in the French and Indian War and in the American Revolutionary War. He died of wounds sustained during the Battle of Ridgefield, Connecticut. Several cities, schools, and public places were named after him thereafter. He has been called "a largely forgotten hero of the Revolution."</t>
  </si>
  <si>
    <t>Edward Vail, Sr. (1717-1777) was a Revolutionary War Colonel of the Edenton District Minutemen and Brigadier General Edenton District Brigade in North Carolina. Prior to the war, he was a captain in the Chowan County militia during the French and Indian War, as well as member of the Chowan County Courts and represented Chowan County in the Province of North Carolina General Assembly from 1754 to 1762, 1770 to 1771, and 1773 to 1774. He was a member of the North Carolina Committee of Correspondence, which was formed in December 1773.</t>
  </si>
  <si>
    <t>Elias Dayton (May 1, 1737 – October 22, 1807) was an American merchant and military officer who served as captain and colonel of the local militia and in 1783 rose to become a brigadier general during the American Revolutionary War. Afterward, he became the Mayor of Elizabethtown, New Jersey as well as served in the New Jersey General Assembly. He was the father of U.S. Constitution signer Jonathan Dayton.</t>
  </si>
  <si>
    <t>Ethan Allen (January 21, 1738  – February 12, 1789) was an American farmer, businessman, land speculator, philosopher, writer, lay theologian, American Revolutionary War patriot, and politician. He is best known as one of the founders of Vermont and for the capture of Fort Ticonderoga early in the Revolutionary War. He was the brother of Ira Allen and the father of Frances Allen.</t>
  </si>
  <si>
    <t>Lieutenant-General Sir Eyre Coote, KB (1726 – 28 April 1783) was a British soldier and politician who sat in the House of Commons from 1768 to 1780. He is best known for his many years of service with the British Army in India. His victory at the Battle of Wandiwash is considered a decisive turning point in the struggle for control in India between Britain and France. He was known by his sepoy troops as Coote Bahadur (Coote the Brave).</t>
  </si>
  <si>
    <t>Brigadier General Francis McLean (c.1717 – 4 May 1781) was a British army officer, one of two sons of Captain William Maclean and Anne Kinloch. He became famous for defending New Ireland (Maine) against the Penobscot Expedition during the American Revolution. The defeat of the Expedition was a noted British victory of the American Revolution. He was in command of the 74th Regiment of (Highland) Foot and 82nd Regiment of Foot (1778). He died 4 May 1781 at Halifax, Nova Scotia and is buried in the crypt of St. Paul's Church (Halifax). McLean never married.</t>
  </si>
  <si>
    <t>Francis Edward Rawdon-Hastings, 1st Marquess of Hastings, KG, PC (9 December 1754 – 28 November 1826), styled The Honourable Francis Rawdon from birth until 1762, Lord Rawdon between 1762 and 1783, The Lord Rawdon from 1783 to 1793 and The Earl of Moira between 1793 and 1816, was an Anglo-Irish politician and military officer who served as Governor-General of India from 1813 to 1823. He had also served with British forces for years during the American Revolutionary War and in 1794 during the War of the First Coalition. He took the additional surname "Hastings" in 1790 in compliance with the will of his maternal uncle, Francis Hastings, 10th Earl of Huntingdon.</t>
  </si>
  <si>
    <t>François-Aymar de Monteil (Dauphiné, 1725 — Galluis, 10 September 1787) was a French Navy officer. He served in the War of American Independence, earning membership in the Society of the Cincinnati. He was also a member and director of the Académie de Marine</t>
  </si>
  <si>
    <t>François Jean de Beauvoir, Marquis de Chastellux (French: ; 5 May 1734, in Paris – 24 October 1788, in Paris), was a military officer who served during the War of American Independence as a major general in the French expeditionary forces led by general Comte de Rochambeau. Being on general Rochambeau's staff for the duration of the war, Chastellux acted as the principal liaison officer between the French commander in chief and George Washington. However the Chevalier de Chastellux was also widely recognized, at the time of his campaigns in America, as a highly talented man of letters and a member of the Académie Française</t>
  </si>
  <si>
    <t>Sir Frederick Haldimand, KB (born François Louis Frédéric Haldimand; 11 August 1718 – 5 June 1791) was a Swiss military officer best known for his service in the British Army in North America during the Seven Years' War and the American Revolutionary War. From 1778 to 1786, he served as Governor of the Province of Quebec, during which time he oversaw military operations against the northern frontiers in the war, and engaged in ultimately fruitless negotiations to establish the independent Vermont Republic as a new British province. His administration of Quebec was at times harsh, with the detention of numerous political dissidents and agitators.</t>
  </si>
  <si>
    <t>Friedrich August Valentin Voit von Salzburg (June 26, 1734 – May 14, 1798) was a commander of military units from Ansbach-Bayreuth. During the American Revolutionary War, Great Britain rented auxiliary troops from various German states. Voit commanded the First Regiment of the Ansbach Regiment led by Friedrich Ludwig Albrecht von Eyb, designated the Voit Regiment. In May 1778, Eyb left and Voit took charge of the regiment. Also, he was in command of all Ansbach troops in North America by the time the war had ended.</t>
  </si>
  <si>
    <t>Friedrich Wilhelm von Lossberg (20 April 1720 – 25 June 1800) was a Hessian Lieutenant General fighting with the British-allied German contingents in the American Revolutionary War. He was sent to America in 1776 as a colonel commanding the First Brigade of the Second Hessian Division under Lieutenant General Wilhelm von Knyphausen. Von Knyphausen in turn was second in command under General Leopold Philip de Heister.</t>
  </si>
  <si>
    <t>Friedrich Wilhelm August Heinrich Ferdinand von Steuben (born Friedrich Wilhelm Ludolf Gerhard Augustin Louis von Steuben; September 17, 1730 – November 28, 1794), also referred to as Baron von Steuben (German: ), was a Prussian military officer who was a Founding Father of the United States who played a leading role in the American Revolutionary War by reforming the Continental Army into a disciplined and professional fighting force. His contributions marked a significant improvement in the performance of U.S. troops, and he is consequently regarded as one of the fathers of the United States Army.</t>
  </si>
  <si>
    <t>George Clinton (July 26, 1739 – April 20, 1812) was an American soldier, statesman, and Founding Father of the United States. A prominent Democratic-Republican, Clinton served as the fourth vice president of the United States from 1805 until his death in 1812. He also served as the first Governor of New York from 1777 to 1795 and again from 1801 to 1804. Along with John C. Calhoun, he is one of two vice presidents to hold office under two consecutive presidents.</t>
  </si>
  <si>
    <t>George Weedon (1734–1793) was an American soldier during the Revolutionary War from Fredericksburg, Colony of Virginia. He served as a brigadier general in the Continental Army and later in the Virginia militia. After the Revolutionary War ended he became an original member of the Society of the Cincinnati (Va.).</t>
  </si>
  <si>
    <t>Marie-Joseph Paul Yves Roch Gilbert du Motier de La Fayette, Marquis de La Fayette (6 September 1757 – 20 May 1834), known in the United States as Lafayette (/ˌlɑːfiːˈɛt, ˌlæf-/, French: ), was a French aristocrat, freemason, and military officer who fought in the American Revolutionary War, commanding American troops in several battles, including the siege of Yorktown. After returning to France, he was a key figure in the French Revolution of 1789 and the July Revolution of 1830. He has been considered a national hero in both countries.</t>
  </si>
  <si>
    <t>Guy Carleton, 1st Baron Dorchester KB (3 September 1724 – 10 November 1808), known between 1776 and 1786 as Sir Guy Carleton, was an Anglo-Irish soldier and administrator. He twice served as Governor of the Province of Quebec, from 1768 to 1778, concurrently serving as Governor General of British North America in that time, and again from 1785 to 1795. The title Baron Dorchester was created on 21 August 1786.</t>
  </si>
  <si>
    <t>Henry Knox (July 25, 1750 – October 25, 1806), a Founding Father of the United States, was a senior general of the Continental Army during the Revolutionary War, serving as chief of artillery in most of Washington's campaigns. Following the revolution, he oversaw the War Department under the Articles of Confederation, 1785–1789. Washington, at the start of his first administration, appointed Knox the nation's first Secretary of War, a position he held from 1789 to 1794. He is perhaps best remembered today as the namesake of Fort Knox in Kentucky, the repository of a large portion of the nation's gold reserves.</t>
  </si>
  <si>
    <t>Horatio Lloyd Gates (July 26, 1727 – April 10, 1806) was a British-born American army officer who served as a general in the Continental Army during the early years of the Revolutionary War. He took credit for the American victory in the Battles of Saratoga (1777) – a matter of contemporary and historical controversy – and was blamed for the defeat at the Battle of Camden in 1780. Gates has been described as "one of the Revolution's most controversial military figures" because of his role in the Conway Cabal, which attempted to discredit and replace General George Washington; the battle at Saratoga; and his actions during and after his defeat at Camden.</t>
  </si>
  <si>
    <t>Iman Willem Falck (25 March 1736 – 6 February 1785) was a Dutch colonial governor who served as the 32nd Governor of Zeylan during the Dutch period in Ceylon. He was appointed on 7 August 1765 and was Governor until 5 February 1785. He was succeeded by Edward Hughes.</t>
  </si>
  <si>
    <t>Isaac Gregory (c. 1737–1800) was a politician, Senator in the North Carolina General Assembly, and Brigadier General in the North Carolina militia during the American Revolution.</t>
  </si>
  <si>
    <t>Jacobus Swartwout (1734–1827) was an early American landowner, statesman, and military leader. Swartwout served as a brigadier general in the Continental Army during the American Revolutionary War under General George Washington. He was a close ally of many key Founding Fathers of the United States, and a delegate to New York State's convention for ratification of the US Constitution.</t>
  </si>
  <si>
    <t>James Kenan (1740–1810) was an American military officer and politician who served as a brigadier general of the Wilmington District Brigade during the American Revolutionary War and commander of the North Carolina militia after the war. He was active in North Carolina politics and served ten terms as a state senator.</t>
  </si>
  <si>
    <t>James Mitchell Varnum (December 17, 1748 – January 9, 1789) was an American legislator, lawyer, general in the Continental Army, and a pioneer to the Ohio Country. Varnum resigned his commission in 1779, and was a delegate to the Continental and Confederation Congress, as well as one of two “supreme” judges appointed to the Northwest Territory. He died in Marietta, Ohio in January 1789.</t>
  </si>
  <si>
    <t>Field Marshal Jeffery Amherst, 1st Baron Amherst, KB (29 January 1717 – 3 August 1797) was a British Army officer and Commander-in-Chief of the Forces in the British Army. Amherst is credited as the architect of Britain's successful campaign to conquer the territory of New France during the Seven Years' War. Under his command, British forces captured the cities of Louisbourg, Quebec City and Montreal, as well as several major fortresses. He was also the first British Governor General in the territories that eventually became Canada. Numerous places and streets are named for him, in both Canada and the United States.</t>
  </si>
  <si>
    <t>Johann Gottlieb Rall (also spelled Rahl) (c. 1726—December 27, 1776) was a German colonel best known for his command of Hessian troops at the Battle of Trenton during the American Revolutionary War.</t>
  </si>
  <si>
    <t>John André (2 May 1750/1751 – 2 October 1780) was a major in the British Army and head of its Secret Service in America during the American Revolutionary War. He was hanged as a spy by the Continental Army for assisting Benedict Arnold's attempted surrender of the fort at West Point, New York, to the British. André is typically remembered favorably by historians as a man of honor, and several prominent U.S. leaders of the time, including Alexander Hamilton and the Marquis de Lafayette, did not agree with his fate.</t>
  </si>
  <si>
    <t>John Barry (March 25, 1745 – September 13, 1803) was an Irish-American officer in the Continental Navy during the American Revolutionary War and later in the United States Navy. He has been credited as "The Father of the American Navy" (and shares that moniker with John Paul Jones and John Adams) and was appointed a captain in the Continental Navy on December 7, 1775. He was the first captain placed in command of a U.S. warship commissioned for service under the Continental flag.</t>
  </si>
  <si>
    <t>Vice-Admiral John Byron (8 November 1723 – 1 April 1786) was a British Royal Navy officer and explorer. He earned the nickname "Foul-Weather Jack" in the press because of his frequent encounters with bad weather at sea. As a midshipman, he sailed in the squadron under George Anson on his voyage around the world, though Byron's ship, HMS Wager, made it only to southern Chile, where it was wrecked. He returned to England with the captain of the ship. He was governor of Newfoundland following Hugh Palliser, who left in 1768. He circumnavigated the world as a commodore with his own squadron in 1764–1766. He fought in battles in the Seven Years' War and the American Revolution. He rose to Vice Admiral of the White before his death in 1786.</t>
  </si>
  <si>
    <t>John Glover (November 5, 1732 – January 30, 1797) was an American fisherman, merchant, politician, and military leader from Marblehead, Massachusetts, who served as a brigadier general in the Continental Army during the American Revolutionary War. He is most famous in American history for his regiment rowing Washington across the Delaware, the Battle of Long Island, and leading the first integrated regiment in the American military.</t>
  </si>
  <si>
    <t>John Hazelwood (1726 – March 1, 1800) served as a Commodore in the Pennsylvania Navy and Continental Navy and was among the most noted naval officers during the American Revolutionary War. Born in England about 1726, he became a mariner and settled in Philadelphia early in life, became married and had several children. Promoted to Commodore during the Philadelphia campaign, he also became commander of Fort Mifflin while it was under siege by the British. Throughout the campaign Hazelwood and General Washington were in frequent communication with letters. During the weeks spent engaging the British navy on the Delaware River Hazelwood innovated many naval tactics, kept the British navy at bay for weeks and played a major role in the development of riverine warfare for the American navies. Recommended by Washington and his council, Hazelwood was chosen to lead a large fleet of American ships and riverboats up river to safety. For his bravery and distinguished service Congress awarded him with a ceremonial military sword, while the famous presidential artist Charles Peale found Hazelwood worthy enough to paint his portrait. After the Revolution Hazelwood lived out his remaining years in Philadelphia.</t>
  </si>
  <si>
    <t>John Montagu, 4th Earl of Sandwich, PC, FRS (13 November 1718 – 30 April 1792) was a British statesman who succeeded his grandfather Edward Montagu, 3rd Earl of Sandwich as the Earl of Sandwich in 1729, at the age of ten. During his life, he held various military and political offices, including Postmaster General, First Lord of the Admiralty, and Secretary of State for the Northern Department. He is also known for the claim that he was the eponymous inventor of the sandwich.</t>
  </si>
  <si>
    <t>John Paul Jones (born John Paul; July 6, 1747 – July 18, 1792) was a Scottish-American naval captain who was the United States' first well-known naval commander in the American Revolutionary War. Credited as being the "Father of the American Navy" (a title also credited to John Barry, John Adams, and sometimes Joshua Humphreys), Jones is highly regarded as one of the greatest naval commanders in the history of the United States.</t>
  </si>
  <si>
    <t>John Sullivan (February 17, 1740 – January 23, 1795) was an American general in the Revolutionary War winning several key battles most notably the Delaware crossing. He was a delegate in the Continental Congress where he signed the Continental Association, the third governor of New Hampshire, and a United States district judge of the United States District Court for the District of New Hampshire.</t>
  </si>
  <si>
    <t>John Thomas (1724 – 2 June 1776) was an American doctor and soldier from Massachusetts who became a major general in the Continental Army. He was a leader during the siege of Boston. Thomas briefly commanded the withdrawal from Canada after the unsuccessful invasion by the Continental Army. He died from smallpox during the retreat.</t>
  </si>
  <si>
    <t>Joseph Spencer (October 3, 1714 – January 13, 1789) was an American lawyer, soldier, and statesman from Connecticut. During the Revolutionary War, he served both as a delegate to the Continental Congress and as a major general in the Continental Army.</t>
  </si>
  <si>
    <t>Joseph Warren (June 11, 1741 – June 17, 1775), a Founding Father of the United States, was an American physician who was one of the most important figures in the Patriot movement in Boston during the early days of the American Revolution, eventually serving as President of the revolutionary Massachusetts Provincial Congress. Warren enlisted Paul Revere and William Dawes on April 18, 1775, to leave Boston and spread the alarm that the British garrison in Boston was setting out to raid the town of Concord and arrest rebel leaders John Hancock and Samuel Adams. Warren participated in the Battles of Lexington and Concord the following day, the opening engagements of the American Revolutionary War.</t>
  </si>
  <si>
    <t>Kazimierz Michał Władysław Wiktor Pułaski of the Ślepowron coat of arms (Polish pronunciation:  (listen); Casimir Pulaski /ˈkæ.zɪ.ˌmɪər pəˈlæ.skiː/; March 4 or March 6, 1745  – October 11, 1779) was a Polish nobleman, soldier, and military commander who has been called the "father of the American cavalry."</t>
  </si>
  <si>
    <t>George III (George William Frederick; 4 June 1738 – 29 January 1820) was King of Great Britain and of Ireland from 25 October 1760 until his death in 1820. Both kingdoms were in a personal union under him until the Acts of Union 1800 merged them on 1 January 1801. He then became King of the United Kingdom of Great Britain and Ireland. He was concurrently Duke and Prince-elector of Brunswick-Lüneburg ("Hanover") in the Holy Roman Empire before becoming King of Hanover on 12 October 1814. He was a monarch of the House of Hanover who, unlike his two predecessors, was born in Great Britain, spoke English as his first language, and never visited Hanover.</t>
  </si>
  <si>
    <t>Louis XVI (Louis Auguste; French: ; 23 August 1754 – 21 January 1793), sometimes known as The Last, was the last king of France before the fall of the monarchy during the French Revolution.</t>
  </si>
  <si>
    <t>Leopold Philip de Heister (4 April 1716 Homberg in Niederhessen - 19 November 1777 Hesse-Cassel) was a Hessian general who fought for the British during the American Revolution.</t>
  </si>
  <si>
    <t>Louis-Antoine, Comte de Bougainville (/ˈbuːɡənvɪl/, US also /ˌbuːɡæ̃ˈviːl/, French: ; 12 November 1729 – 31 August 1811) was a French admiral and explorer. A contemporary of the British explorer James Cook, he took part in the Seven Years' War in North America and the American Revolutionary War against Britain. Bougainville later gained fame for his expeditions, including a circumnavigation of the globe in a scientific expedition in 1763, the first recorded settlement on the Falkland Islands, and voyages into the Pacific Ocean. Bougainville Island of Papua New Guinea as well as the Bougainvillea flower are named after him.</t>
  </si>
  <si>
    <t>Louis des Balbes de Berton de Crillon, 1st Duke of Mahón, 2nd Duke of Crillon (22 February 1717 – June 1796) was a Franco-Spanish military officer who reached the rank of Captain general of the Army. He became a soldier at the age of 16 and served with distinction in the French army before transferring to the army of Spain, which was allied with France for much of the 18th century. A member of a distinguished military family, he was widely admired for his personal courage, courtesy and chivalry. By the end of his life he had risen to the highest military rank in Spain and it was said that he had served in 68 engagements.</t>
  </si>
  <si>
    <t>Louis Antoine Jean Le Bègue de Presle Duportail (French: ; 14 May 1743 – 12 August 1802) was a French military leader who served as a volunteer and the Chief Engineer of the Continental Army during the American Revolutionary War. He also served as the last Secretary of State for War and first Minister of War during the beginning of the French Revolution.</t>
  </si>
  <si>
    <t>Luc Urbain du Bouëxic, comte de Guichen (June 21, 1712, Fougères, Ille-et-Vilaine – January 13, 1790, Morlaix) was a French admiral who commanded the French fleets that fought the British at the First Battle of Ushant (1778) and the Battle of Martinique (1780) during the American War of Independence.</t>
  </si>
  <si>
    <t>Admiral Luis de Córdova y Córdova (8 February 1706 – 29 July 1796) was a Spanish admiral. He is best known for his command of the Spanish fleet during the Anglo-Spanish War. His best remembered actions were the capture of two merchant convoys totalling 79 ships between 1780 and 1782, including the capture of 55 ships from a convoy composed of Indiamen, and other cargo ships 60 leagues off Cape St. Vincent. In 1782 he battled the Royal Navy to a stalemate at the Battle of Cape Spartel, but failed to prevent the British relieving the Great Siege of Gibraltar.</t>
  </si>
  <si>
    <t>Michael Kovats de Fabriczy (often simply Michael Kovats; Hungarian: Kováts Mihály; 1724 – May 11, 1779) was a Hungarian nobleman and cavalry officer who served in the Continental Army during the American Revolutionary War, in which he was killed in action. General Casimir Pulaski and Kovats are together known as the "Founding Fathers of the US Cavalry."</t>
  </si>
  <si>
    <t>Major-General Nathanael Greene (August 7  1742 – June 19, 1786) was an American military officer and planter who served in the Continental Army during the Revolutionary War. He emerged from the war with a reputation as one of George Washington's most talented and dependable officers, and is known for his successful command in the Southern theater of the conflict.</t>
  </si>
  <si>
    <t>Peleg Wadsworth (May 6, 1748 – November 12, 1829) was an American Patriot officer during the American Revolutionary War and a Congressman from Massachusetts representing the District of Maine. He was also grandfather of noted American poet Henry Wadsworth Longfellow.</t>
  </si>
  <si>
    <t>Philip John Schuyler (/ˈskaɪlər/; November 20, 1733 - November 18, 1804) was an American general in the Revolutionary War and a United States Senator from New York. He is usually known as Philip Schuyler, while his son is usually known as Philip J. Schuyler.</t>
  </si>
  <si>
    <t>Brigadier-General Rufus Putnam (April 9, 1738 – May 4, 1824) was an American military officer who fought during the French and Indian War and the American Revolutionary War. As an organizer of the Ohio Company of Associates, he was instrumental in the initial colonization of the Northwest Territory in present-day Ohio following the war. He was known as "Father of the Northwest Territory".</t>
  </si>
  <si>
    <t>Samuel Holden Parsons (May 14, 1737 – November 17, 1789) was an American lawyer, jurist, general in the Continental Army during the American Revolutionary War, and a pioneer to the Ohio Country. Parsons was described as "Soldier, scholar, judge, one of the strongest arms on which Washington leaned, who first suggested the Continental Congress, from the story of whose life could almost be written the history of the Northern War" by Senator George F. Hoar of Massachusetts</t>
  </si>
  <si>
    <t>Samuel Hood, 1st Viscount Hood (12 December 1724 – 27 January 1816) was an admiral in the Royal Navy. As a junior officer he saw action during the War of the Austrian Succession. While in temporary command of Antelope, he drove a French ship ashore in Audierne Bay, and captured two privateers in 1757 during the Seven Years' War. He held senior command as Commander-in-Chief, North American Station and then as Commander-in-Chief, Leeward Islands Station, leading the British fleet to victory at Battle of the Mona Passage in April 1782 during the American Revolutionary War. He went on to be Commander-in-Chief, Portsmouth, then First Naval Lord and, after briefly returning to the Portsmouth command, became Commander-in-Chief, Mediterranean Fleet during the French Revolutionary Wars. His younger brother was Admiral Alexander Hood, 1st Viscount Bridport (1726–1814), and his first cousin once-removed was Admiral Sir Samuel Hood, 1st Baronet (1762–1814).</t>
  </si>
  <si>
    <t>Seth Warner (May 17, 1743  – December 26, 1784) was an American soldier. He was a Revolutionary War officer from Vermont who rose to rank of Continental colonel and was often given the duties of a brigade commander. He is best known for his leadership in the capture of Fort Crown Point, the Battle of Longueuil, the siege of Quebec, the retreat from Canada, and the battles of Hubbardton and Bennington.</t>
  </si>
  <si>
    <t>Andrzej Tadeusz Bonawentura Kościuszko (Belarusian: Андрэй Тадэвуш Банавентура Касцюшка, English: Andrew Thaddeus Bonaventure Kosciuszko; 4 or 12 February 1746 – 15 October 1817) was a Polish military engineer, statesman, and military leader who became a national hero in Belarus, France, Lithuania, Poland, and the United States. He fought in the Polish–Lithuanian Commonwealth's struggles against Russia and Prussia, and on the US side in the American Revolutionary War. As Supreme Commander of the Polish National Armed Forces, he led the 1794 Kościuszko Uprising.</t>
  </si>
  <si>
    <t>Thomas Conway (February 27, 1735 – 1795) served as a major general in the American Continental Army during the American Revolutionary War. He became involved with the alleged Conway Cabal with Horatio Gates. He later served with Émigré forces during the French Revolutionary Wars.</t>
  </si>
  <si>
    <t>Jean-Baptiste Barthélémy Thomas, comte d’Orves (1727 — Orient, off Madras, 9 February 1782 ) was a French Navy officer, who rose to have flag officer rank.</t>
  </si>
  <si>
    <t>Admiral Thomas Graves, 1st Baron Graves, KB (23 October 1725 – 9 February 1802) was a British officer of the Royal Navy and a colonial official. He served in the Seven Years' War and the American War of Independence. He was also the Commodore-Governor of Newfoundland for a period of time.</t>
  </si>
  <si>
    <t>Thomas Johnson (November 4, 1732 – October 26, 1819) was an 18th-century American lawyer, politician, and patriot. He was a delegate to the First Continental Congress in 1774, where he signed the Continental Association; commander of the Maryland militia in 1776; and elected first (non-Colonial) governor of Maryland in 1777. Throughout his career, Johnson maintained a personal and political friendship with George Washington, who gave him a recess appointment as an associate justice of the Supreme Court in August 1791. He served only briefly, resigning in January 1793, citing health issues.</t>
  </si>
  <si>
    <t>Thomas Mifflin (January 10, 1744 – January 20, 1800) was an American merchant, soldier, and politician from Pennsylvania, who is regarded as a Founding Father of the United States for his roles during and after the American Revolution. Mifflin signed the United States Constitution, was the first governor of Pennsylvania, serving from 1790 to 1799, and was also the state's last president, succeeding Benjamin Franklin in 1788.</t>
  </si>
  <si>
    <t>Captain Thomas Preston (c.1722—c. 1798) was an Irish military officer who served in Boston, Massachusetts. He commanded the troops involved in the Boston Massacre in 1770 and was tried for murder, but was acquitted. Historians have never settled whether he ordered his men to fire on the colonists. Preston was originally from Ireland; his people were among the Protestants settled there.</t>
  </si>
  <si>
    <t>Timothy Danielson (1733–1791) was the third son of John and Margaret (Mughill) Danielson. He graduated from Yale in 1756. He was a teacher, merchant, soldier, and public official from Massachusetts. During the American Revolution, he served in the Massachusetts Provincial Congress and in 1775, was commissioned colonel of a regiment of the Continental Army.</t>
  </si>
  <si>
    <t>Count Toussaint-Guillaume Picquet de la Motte, also known as La Motte-Picquet (born 1 November 1720 in Rennes; died 10 June 1791 in Brest) was a French Navy officer and admiral. Over a career spanning 50 years, he served under Louis XV and Louis XVI and took part in 34 campaigns. He fought in the Seven Years' War and in the Naval battles of the American Revolutionary War, earning the ranks of Commandeur in the Order of Saint Louis in 1780, and of Grand Cross in 1784. He died during the French Revolution.</t>
  </si>
  <si>
    <t>William Alexander, also known as Lord Stirling (1726 – 15 January 1783), was a Scottish-American major general during the American Revolutionary War. He was considered male heir to the Scottish title of Earl of Stirling through Scottish lineage (being the senior male descendant of the paternal grandfather of the 1st Earl of Stirling, who had died in 1640), and he sought the title sometime after 1756. His claim was initially granted by a Scottish court in 1759; however, the House of Lords ultimately overruled Scottish law and denied the title in 1762. He continued to hold himself out as "Lord Stirling" regardless.</t>
  </si>
  <si>
    <t>William Bryan (1725–1781) was a Brigadier General over the New Bern District Brigade in the North Carolina militia during the American Revolution. He was also active in North Carolina politics and was a delegate to North Carolina's Third Provincial Congress in Hillsborough in August 1775 and represented Johnston County, North Carolina in the North Carolina House of Commons in 1778–1779.</t>
  </si>
  <si>
    <t>William Heath (March 2, 1737 – January 24, 1814) was an American farmer, soldier, and political leader from Massachusetts who served as a major general in the Continental Army during the American Revolutionary War.</t>
  </si>
  <si>
    <t>William Petty Fitzmaurice, 1st Marquess of Lansdowne, KG, PC (2 May 1737 – 7 May 1805; known as the Earl of Shelburne between 1761 and 1784, by which title he is generally known to history), was an Anglo-Irish Whig statesman who was the first home secretary in 1782 and then prime minister from 1782 to 1783 during the final months of the American War of Independence. He succeeded in securing peace with America and this feat remains his most notable legacy.</t>
  </si>
  <si>
    <t>William Skinner (December 25, 1728 – January 26, 1798) was a Province of North Carolina official, planter and brigadier general in Edenton District Brigade of the North Carolina militia during the American Revolution.</t>
  </si>
  <si>
    <t>William Smallwood (1732 – February 14, 1792) was an American planter, soldier and politician from Charles County, Maryland. He served in the American Revolutionary War, rising to the rank of major general. He was serving as the fourth Governor of Maryland when the state adopted the United States Constitution.</t>
  </si>
  <si>
    <t>William West (c. 1733–1816) was an American militia general in the American Revolutionary War, Justice of the Rhode Island Supreme Court, Deputy Governor of Rhode Island, and anti-federalist leader. West also was a party in the first U.S. Supreme Court decision in 1791, West v. Barnes.</t>
  </si>
  <si>
    <t>William Wildman Shute Barrington, 2nd Viscount Barrington, PC (15 January 1717 – 1 February 1793), was a British politician who sat in the House of Commons for 38 years from 1740 to 1778. He was best known for his two periods as Secretary at War during Britain's involvement in the Seven Years War and American War of Independence.</t>
  </si>
  <si>
    <t>William Woodford (October 6, 1734 – November 13, 1780) was a Virginia planter and militia officer who distinguished himself in the French and Indian War, and later became general of the 2nd Virginia Regiment in the American Revolutionary War, but was captured at the siege of Charleston, South Carolina and died of disease in New York City about six months later aboard a British prison ship.</t>
  </si>
  <si>
    <t>William Moultrie (November 23, 1730 – September 27, 1805) was an American planter and politician who became a general in the American Revolutionary War. As colonel leading a state militia, in 1776 he prevented the British from taking Charleston, and Fort Moultrie was named in his honor.</t>
  </si>
  <si>
    <t>Antonio Barceló y Pont de la Terra (1 January 1717, in Palma, Majorca – 30 January 1797, in idem) (in Catalan Antoni Barceló i Pont de la Terra) was a Spanish mariner, lieutenant general (equivalent to Admiral) of the Spanish Royal Armada. He began as privateer at the service of the Spanish Empire and thanks to his merits, he became lieutenant general of the Spanish Royal Armada and fought against Algerians pirates.</t>
  </si>
  <si>
    <t>Arthur St. Clair (March 23, 1737 – August 31, 1818) was a Scottish-American soldier and politician. Born in Thurso, Scotland, he served in the British Army during the French and Indian War before settling in Pennsylvania, where he held local office. During the American Revolutionary War, he rose to the rank of major general in the Continental Army, but lost his command after a controversial retreat from Fort Ticonderoga.</t>
  </si>
  <si>
    <t>August de la Motte (17 November 1713 – 29 August 1788) was a Hanoverian general who notably served in the Great Siege of Gibraltar. De la Motte was born on 17 November 1713 in the Principality of Brunswick-Wolfenbüttel. He served in the Hanoverian Army during the Seven Years' War, notably participating in the Second Siege of Cassel. In 1775 the Duke and Prince-elector of Hanover was George III, who also ruled the Kingdom of Great Britain in personal union. King George had to deal with the American Revolution and the outbreaking American Revolutionary War and prepared to ready Hanoverian troops for garrison duty so that British troops would be freed for service in America.</t>
  </si>
  <si>
    <t>Bernardo Vicente de Gálvez y Madrid, 1st Count of Gálvez (23 July 1746 – 30 November 1786) was a Spanish military leader and government official who served as colonial governor of Spanish Louisiana and Cuba, and later as Viceroy of New Spain. A career soldier since the age of 16, Gálvez was a veteran of several wars across Europe, the Americas, and North Africa. While governor of Louisiana, he supported the colonists and their French allies in the American Revolutionary War, helping facilitate vital supply lines and frustrate British operations in the Gulf Coast. Gálvez achieved several victories on the battlefield, most notably conquering West Florida and eliminating the British naval presence in the Gulf. This campaign led to the formal return of all of Florida to Spain in the Treaty of Paris, which he played a role in drafting.</t>
  </si>
  <si>
    <t>Charles Joseph Hyacinthe du Houx de Vioménil, Marquis of Vioménil (August 22, 1734 – March 5, 1827) was a Marshal of France. Viomesnil entered the French army at age 13 as a lieutenant of the regiment of Limousin. He served in the War of the Austrian Succession where he took part in the Battle of Lauffeld and the capture of Bergen op Zoom. During the Seven Years' War he served as an aide de camp to general François de Chevert (1757–1758). Viomesnil was made a knight of the Order of Saint Louis in 1760. He was promoted to colonel in 1761. In 1768 he commanded an infantry brigade during the annexation of Corsica. Upon his return to France in 1769 he was made colonel of the Légion de Lorraine en 1770. Promoted maréchal de camp in 1780, Viomesnil served under Rochambeau in America during the Yorktown campaign. After his return from the American Revolutionary War he was made inspector-general of the cavalry (1783–1788). In 1789–1790 he served as governor of Martinique.</t>
  </si>
  <si>
    <t>James Wilkinson (March 24, 1757 – December 28, 1825) was an American soldier, politician, and double agent who was associated with several scandals and controversies. He served in the Continental Army during the American Revolutionary War, but he was twice compelled to resign. He was twice the Senior Officer of the U.S. Army, appointed to be the first Governor of the Louisiana Territory in 1805, and commanded two unsuccessful campaigns in the St. Lawrence River theater during the War of 1812. He died while seeking to serve as a diplomat in Mexico City.</t>
  </si>
  <si>
    <t>John Barnwell (July 15, 1748 – August 27, 1800) was a soldier and public official from South Carolina. He was the son of Nathaniel Barnwell and Mary Gibbes. During the American Revolution, he served in the South Carolina Provincial Congress (1775–1776) and the first South Carolina General Assembly (1776). As a major in the South Carolina militia during the American Revolutionary War, he was captured at Charlestown in 1780 and was later released in a prisoner exchange. He was appointed a general in the South Carolina militia after the war.</t>
  </si>
  <si>
    <t>Martín Antonio Álvarez de Sotomayor y Soto-Flores, 1st Count of Colomera (1723–1819) was a Spanish general. He fought in Italy during the War of the Polish Succession (1733–1735) and was marechal de camp during the 1762 war with Portugal. From 1788 to 1790 he was viceroy of Navarre and during the Anglo-Spanish War he led the Great Siege of Gibraltar until 1782, when he was relegated to command only its Spanish contingent. He was a minister and recipient of the Order of Charles III, but died without issue.</t>
  </si>
  <si>
    <t>Admiral comte Pierre André de Suffren de Saint Tropez, bailli de Suffren (17 July 1729 – Paris, 8 December 1788), Château de Saint-Cannat) was a French Navy officer and admiral. Beginning his career during the War of the Austrian Succession, he fought in the Seven Years' War, where he was taken prisoner at the Battle of Lagos. Promoted to captain in 1772, he was one of the aids of Admiral d'Estaing during the Naval battles of the American Revolutionary War, notably taking part in the Siege of Savannah.</t>
  </si>
  <si>
    <t>Wilhelm Reichsfreiherr von Innhausen und Knyphausen (4 November 1716 Lütetsburg, East Frisia – 7 December 1800 Kassel) was a German general officer who served in Hesse-Kassel. He fought in the American Revolutionary War, during which he commanded Hessian auxiliaries on behalf of Great Britain.</t>
  </si>
  <si>
    <t>William Whipple Jr. (January 25, 1731 NS – November 28, 1785) was an American Founding Father and signatory of the United States Declaration of Independence. He represented New Hampshire as a member of the Continental Congress from 1776 through 1779. He worked as both a ship's captain and a merchant, and he studied in college to become a judge. He died of heart complications in 1785, aged 55.</t>
  </si>
  <si>
    <t>Steuben, New York, U.S.</t>
  </si>
  <si>
    <t>Esek Hopkins was an established Sea Captain and Brigadier General of Militia from Rhode Island who was named Commodore and Commander in Chief of the Continental Navy in 1776. He disregarded his instructions from Congress to take the fleet to cruise the Southern colonies, instead attacking British colonial holdings in the Caribbean in the Battle of Nassau. This act was Initially hailed as heroic, he was subsequently censured by Congress in August 1776, and was relieved of his command in January 1778.</t>
  </si>
  <si>
    <t>firstname</t>
  </si>
  <si>
    <t>lastnme</t>
  </si>
  <si>
    <t>birthyear</t>
  </si>
  <si>
    <t>deathyear</t>
  </si>
  <si>
    <t>November 5, 1732</t>
  </si>
  <si>
    <t>23 October 1729</t>
  </si>
  <si>
    <t>Alexander Spotswood</t>
  </si>
  <si>
    <t>Arthur Middleton</t>
  </si>
  <si>
    <t>Beverley Robinson</t>
  </si>
  <si>
    <t>Charles Craven</t>
  </si>
  <si>
    <t>Charles Greville Montagu</t>
  </si>
  <si>
    <t>Dr. Daniel Coxe</t>
  </si>
  <si>
    <t>Edmund Andros</t>
  </si>
  <si>
    <t>Edmund Jenings</t>
  </si>
  <si>
    <t>Edward Byllynge</t>
  </si>
  <si>
    <t>Edward Digges</t>
  </si>
  <si>
    <t>Edward Nott</t>
  </si>
  <si>
    <t>Francis Bernard</t>
  </si>
  <si>
    <t>Francis Fauquier</t>
  </si>
  <si>
    <t>Francis Moryson</t>
  </si>
  <si>
    <t>Francis Nicholson</t>
  </si>
  <si>
    <t>Francis West</t>
  </si>
  <si>
    <t>Francis Wyatt</t>
  </si>
  <si>
    <t>George Percy</t>
  </si>
  <si>
    <t>George Reade</t>
  </si>
  <si>
    <t>George Yeardley</t>
  </si>
  <si>
    <t>Henry Chicheley</t>
  </si>
  <si>
    <t>Henry Laurens</t>
  </si>
  <si>
    <t>Herbert Jeffreys</t>
  </si>
  <si>
    <t>Hugh Drysdale</t>
  </si>
  <si>
    <t>James Blair</t>
  </si>
  <si>
    <t>James Colleton</t>
  </si>
  <si>
    <t>James Glen</t>
  </si>
  <si>
    <t>James Moore Jr.</t>
  </si>
  <si>
    <t>James Moore Sr.</t>
  </si>
  <si>
    <t>John Anderson</t>
  </si>
  <si>
    <t>John Archdale</t>
  </si>
  <si>
    <t>John Berry</t>
  </si>
  <si>
    <t>John Pott</t>
  </si>
  <si>
    <t>John Ratcliffe</t>
  </si>
  <si>
    <t>John Reading</t>
  </si>
  <si>
    <t>John Smith</t>
  </si>
  <si>
    <t>John West</t>
  </si>
  <si>
    <t>John Yeamans</t>
  </si>
  <si>
    <t>Jonathan Belcher</t>
  </si>
  <si>
    <t>Joseph Blake</t>
  </si>
  <si>
    <t>Joseph Morton</t>
  </si>
  <si>
    <t>Joseph West</t>
  </si>
  <si>
    <t>Josiah Hardy</t>
  </si>
  <si>
    <t>Lewis Morris</t>
  </si>
  <si>
    <t>Matthew Scrivener</t>
  </si>
  <si>
    <t>Nathaniel Bacon</t>
  </si>
  <si>
    <t>Nathaniel Johnson</t>
  </si>
  <si>
    <t>Nicholas Spencer</t>
  </si>
  <si>
    <t>Philip Carteret</t>
  </si>
  <si>
    <t>Philip Ludwell</t>
  </si>
  <si>
    <t>Richard Bennett</t>
  </si>
  <si>
    <t>Richard Ingoldesby</t>
  </si>
  <si>
    <t>Richard Kemp</t>
  </si>
  <si>
    <t>Richard Kyrle</t>
  </si>
  <si>
    <t>Richard Nicolls</t>
  </si>
  <si>
    <t>Robert Daniell</t>
  </si>
  <si>
    <t>Robert Dinwiddie</t>
  </si>
  <si>
    <t>Robert Gibbes</t>
  </si>
  <si>
    <t>Robert Hunter</t>
  </si>
  <si>
    <t>Robert Johnson</t>
  </si>
  <si>
    <t>Robert Quary</t>
  </si>
  <si>
    <t>Samuel Argall</t>
  </si>
  <si>
    <t>Seth Sothell</t>
  </si>
  <si>
    <t>Thomas Boone</t>
  </si>
  <si>
    <t>Thomas Broughton</t>
  </si>
  <si>
    <t>Thomas Dale</t>
  </si>
  <si>
    <t>Thomas Gates</t>
  </si>
  <si>
    <t>Thomas Lee</t>
  </si>
  <si>
    <t>Thomas Smith</t>
  </si>
  <si>
    <t>Willem Anne van Keppel</t>
  </si>
  <si>
    <t>William Berkeley</t>
  </si>
  <si>
    <t>William Bull II</t>
  </si>
  <si>
    <t>William Bull</t>
  </si>
  <si>
    <t>William Burnet</t>
  </si>
  <si>
    <t>William Campbell</t>
  </si>
  <si>
    <t>William Franklin</t>
  </si>
  <si>
    <t>William Henry Lyttleton</t>
  </si>
  <si>
    <t>William Nelson</t>
  </si>
  <si>
    <t>https://en.wikipedia.org/wiki/John_Montgomerie</t>
  </si>
  <si>
    <t>https://en.wikipedia.org/wiki/Daniel_Coxe</t>
  </si>
  <si>
    <t>https://en.wikipedia.org/wiki/Edmund_Andros</t>
  </si>
  <si>
    <t>https://en.wikipedia.org/wiki/Edward_Byllynge</t>
  </si>
  <si>
    <t>https://en.wikipedia.org/wiki/Sir_Francis_Bernard,_1st_Baronet</t>
  </si>
  <si>
    <t>https://en.wikipedia.org/wiki/Francis_Wyatt</t>
  </si>
  <si>
    <t>https://en.wikipedia.org/wiki/George_Yeardley</t>
  </si>
  <si>
    <t>https://en.wikipedia.org/wiki/John_Anderson_(New_Jersey_politician)</t>
  </si>
  <si>
    <t>https://en.wikipedia.org/wiki/John_Berry_(New_Jersey_governor)</t>
  </si>
  <si>
    <t>https://en.wikipedia.org/wiki/John_Reading_(New_Jersey_governor)</t>
  </si>
  <si>
    <t>https://en.wikipedia.org/wiki/Jonathan_Belcher</t>
  </si>
  <si>
    <t>https://en.wikipedia.org/wiki/Josiah_Hardy</t>
  </si>
  <si>
    <t>https://en.wikipedia.org/wiki/Lewis_Morris_(governor)</t>
  </si>
  <si>
    <t>https://en.wikipedia.org/wiki/Philip_Carteret_(colonial_governor)</t>
  </si>
  <si>
    <t>https://en.wikipedia.org/wiki/Richard_Ingoldesby</t>
  </si>
  <si>
    <t>https://en.wikipedia.org/wiki/Richard_Kemp_(governor)</t>
  </si>
  <si>
    <t>https://en.wikipedia.org/wiki/Richard_Nicolls</t>
  </si>
  <si>
    <t>https://en.wikipedia.org/wiki/Robert_Hunter_(colonial_administrator)</t>
  </si>
  <si>
    <t>https://en.wikipedia.org/wiki/Samuel_Argall</t>
  </si>
  <si>
    <t>https://en.wikipedia.org/wiki/Thomas_Boone_(governor)</t>
  </si>
  <si>
    <t>https://en.wikipedia.org/wiki/Thomas_Dale</t>
  </si>
  <si>
    <t>https://en.wikipedia.org/wiki/Thomas_Gates_(governor)</t>
  </si>
  <si>
    <t>https://en.wikipedia.org/wiki/William_Berkeley_(governor)</t>
  </si>
  <si>
    <t>https://en.wikipedia.org/wiki/William_Franklin</t>
  </si>
  <si>
    <t>Alexander Rigby</t>
  </si>
  <si>
    <t>https://en.wikipedia.org/wiki/Alexander_Rigby</t>
  </si>
  <si>
    <t>https://en.wikipedia.org/wiki/Alexander_Spotswood</t>
  </si>
  <si>
    <t>Andrew Bowne</t>
  </si>
  <si>
    <t>https://en.wikipedia.org/wiki/Andrew_Bowne</t>
  </si>
  <si>
    <t>Andrew Elliot</t>
  </si>
  <si>
    <t>https://en.wikipedia.org/wiki/Andrew_Elliot</t>
  </si>
  <si>
    <t>Andrew Hamilton</t>
  </si>
  <si>
    <t>https://en.wikipedia.org/wiki/Andrew_Hamilton_(New_Jersey_governor)</t>
  </si>
  <si>
    <t>Anthony Brockholls</t>
  </si>
  <si>
    <t>https://en.wikipedia.org/wiki/Anthony_Brockholls</t>
  </si>
  <si>
    <t>Anthony Colve</t>
  </si>
  <si>
    <t>https://en.wikipedia.org/wiki/Anthony_Colve</t>
  </si>
  <si>
    <t>https://en.wikipedia.org/wiki/Archibald_Campbell_(British_Army_officer,_born_1739)</t>
  </si>
  <si>
    <t>https://en.wikipedia.org/wiki/Arthur_Middleton_(1681%E2%80%931737)</t>
  </si>
  <si>
    <t>https://en.wikipedia.org/wiki/Benedict_Arnold_(governor)</t>
  </si>
  <si>
    <t>Benedict Calvert</t>
  </si>
  <si>
    <t>https://en.wikipedia.org/wiki/Benedict_Calvert,_4th_Baron_Baltimore</t>
  </si>
  <si>
    <t>Benedict Leonard Calvert</t>
  </si>
  <si>
    <t>https://en.wikipedia.org/wiki/Benedict_Leonard_Calvert</t>
  </si>
  <si>
    <t>Benjamin Fletcher</t>
  </si>
  <si>
    <t>https://en.wikipedia.org/wiki/Benjamin_Fletcher</t>
  </si>
  <si>
    <t>Benjamin Tasker</t>
  </si>
  <si>
    <t>https://en.wikipedia.org/wiki/Benjamin_Tasker_Sr.</t>
  </si>
  <si>
    <t>Benning Wentworth</t>
  </si>
  <si>
    <t>https://en.wikipedia.org/wiki/Benning_Wentworth</t>
  </si>
  <si>
    <t>https://en.wikipedia.org/wiki/Beverley_Robinson</t>
  </si>
  <si>
    <t>Cadwallader Colden</t>
  </si>
  <si>
    <t>https://en.wikipedia.org/wiki/Cadwallader_Colden</t>
  </si>
  <si>
    <t>Caleb Carr</t>
  </si>
  <si>
    <t>https://en.wikipedia.org/wiki/Caleb_Carr_(governor)</t>
  </si>
  <si>
    <t>Charles Calvert</t>
  </si>
  <si>
    <t>https://en.wikipedia.org/wiki/Charles_Calvert_(governor)</t>
  </si>
  <si>
    <t>https://en.wikipedia.org/wiki/Charles_Calvert,_3rd_Baron_Baltimore</t>
  </si>
  <si>
    <t>https://en.wikipedia.org/wiki/Charles_Calvert,_5th_Baron_Baltimore</t>
  </si>
  <si>
    <t>https://en.wikipedia.org/wiki/Charles_Craven</t>
  </si>
  <si>
    <t>Charles Gookin</t>
  </si>
  <si>
    <t>https://en.wikipedia.org/wiki/Charles_Gookin</t>
  </si>
  <si>
    <t>Charles Hardy</t>
  </si>
  <si>
    <t>https://en.wikipedia.org/wiki/Charles_Hardy</t>
  </si>
  <si>
    <t>Cornelius Jacobsen May</t>
  </si>
  <si>
    <t>https://en.wikipedia.org/wiki/Cornelius_Jacobsen_May</t>
  </si>
  <si>
    <t>https://en.wikipedia.org/wiki/Edmund_Jenings_(governor)</t>
  </si>
  <si>
    <t>Edward Cranfield</t>
  </si>
  <si>
    <t>https://en.wikipedia.org/wiki/Edward_Cranfield</t>
  </si>
  <si>
    <t>https://en.wikipedia.org/wiki/Edward_Digges</t>
  </si>
  <si>
    <t>Edward Godfrey</t>
  </si>
  <si>
    <t>https://en.wikipedia.org/wiki/Edward_Godfrey_(Maine)</t>
  </si>
  <si>
    <t>Edward Hopkins</t>
  </si>
  <si>
    <t>https://en.wikipedia.org/wiki/Edward_Hopkins</t>
  </si>
  <si>
    <t>Edward Hyde</t>
  </si>
  <si>
    <t>https://en.wikipedia.org/wiki/Edward_Hyde,_3rd_Earl_of_Clarendon</t>
  </si>
  <si>
    <t>Edward Lloyd</t>
  </si>
  <si>
    <t>https://en.wikipedia.org/wiki/Edward_Lloyd_(Colonial_Governor_of_Maryland)</t>
  </si>
  <si>
    <t>Edward Maria Wingfield</t>
  </si>
  <si>
    <t>https://en.wikipedia.org/wiki/Edward_Maria_Wingfield</t>
  </si>
  <si>
    <t>https://en.wikipedia.org/wiki/Edward_Nott</t>
  </si>
  <si>
    <t>Edward Shippen</t>
  </si>
  <si>
    <t>https://en.wikipedia.org/wiki/Edward_Shippen</t>
  </si>
  <si>
    <t>Edward Winslow</t>
  </si>
  <si>
    <t>https://en.wikipedia.org/wiki/Edward_Winslow</t>
  </si>
  <si>
    <t>Ferdinando Gorges</t>
  </si>
  <si>
    <t>https://en.wikipedia.org/wiki/Ferdinando_Gorges</t>
  </si>
  <si>
    <t>Fitz-John Winthrop</t>
  </si>
  <si>
    <t>https://en.wikipedia.org/wiki/Fitz-John_Winthrop</t>
  </si>
  <si>
    <t>https://en.wikipedia.org/wiki/Francis_Fauquier</t>
  </si>
  <si>
    <t>Francis Howard</t>
  </si>
  <si>
    <t>https://en.wikipedia.org/wiki/Francis_Howard,_5th_Baron_Howard_of_Effingham</t>
  </si>
  <si>
    <t>Francis Lovelace</t>
  </si>
  <si>
    <t>https://en.wikipedia.org/wiki/Francis_Lovelace</t>
  </si>
  <si>
    <t>https://en.wikipedia.org/wiki/Francis_Moryson</t>
  </si>
  <si>
    <t>Francis Newman</t>
  </si>
  <si>
    <t>https://en.wikipedia.org/wiki/Francis_Newman</t>
  </si>
  <si>
    <t>https://en.wikipedia.org/wiki/Francis_Nicholson</t>
  </si>
  <si>
    <t>https://en.wikipedia.org/wiki/Francis_West</t>
  </si>
  <si>
    <t>George Burdett</t>
  </si>
  <si>
    <t>https://en.wikipedia.org/wiki/George_Burdett_(governor)</t>
  </si>
  <si>
    <t>George Clarke</t>
  </si>
  <si>
    <t>https://en.wikipedia.org/wiki/George_Clarke_(governor)</t>
  </si>
  <si>
    <t>George Cleeve</t>
  </si>
  <si>
    <t>https://en.wikipedia.org/wiki/George_Cleeve</t>
  </si>
  <si>
    <t>https://en.wikipedia.org/wiki/George_Clinton_(Royal_Navy_officer)</t>
  </si>
  <si>
    <t>George Fenwick</t>
  </si>
  <si>
    <t>https://en.wikipedia.org/wiki/George_Fenwick_(Parliamentarian)</t>
  </si>
  <si>
    <t>George Hamilton</t>
  </si>
  <si>
    <t>https://en.wikipedia.org/wiki/George_Hamilton,_1st_Earl_of_Orkney</t>
  </si>
  <si>
    <t>https://en.wikipedia.org/wiki/George_Percy</t>
  </si>
  <si>
    <t>George Popham</t>
  </si>
  <si>
    <t>https://en.wikipedia.org/wiki/George_Popham</t>
  </si>
  <si>
    <t>https://en.wikipedia.org/wiki/George_Reade_(colonial_governor)</t>
  </si>
  <si>
    <t>George Wyllys</t>
  </si>
  <si>
    <t>https://en.wikipedia.org/wiki/George_Wyllys</t>
  </si>
  <si>
    <t>Gerardus Beekman</t>
  </si>
  <si>
    <t>https://en.wikipedia.org/wiki/Gerardus_Beekman</t>
  </si>
  <si>
    <t>Gideon Wanton</t>
  </si>
  <si>
    <t>https://en.wikipedia.org/wiki/Gideon_Wanton</t>
  </si>
  <si>
    <t>Gregory Dexter</t>
  </si>
  <si>
    <t>https://en.wikipedia.org/wiki/Gregory_Dexter</t>
  </si>
  <si>
    <t>Gurdon Saltonstall</t>
  </si>
  <si>
    <t>https://en.wikipedia.org/wiki/Gurdon_Saltonstall</t>
  </si>
  <si>
    <t>Henderson Walker</t>
  </si>
  <si>
    <t>https://en.wikipedia.org/wiki/Henderson_Walker</t>
  </si>
  <si>
    <t>Henry Bull</t>
  </si>
  <si>
    <t>https://en.wikipedia.org/wiki/Henry_Bull_(governor)</t>
  </si>
  <si>
    <t>https://en.wikipedia.org/wiki/Henry_Chicheley</t>
  </si>
  <si>
    <t>Henry Ellis</t>
  </si>
  <si>
    <t>https://en.wikipedia.org/wiki/Henry_Ellis_(governor)</t>
  </si>
  <si>
    <t>Henry Jocelyn</t>
  </si>
  <si>
    <t>https://en.wikipedia.org/wiki/Henry_Jocelyn</t>
  </si>
  <si>
    <t>https://en.wikipedia.org/wiki/Henry_Laurens</t>
  </si>
  <si>
    <t>Henry Parker</t>
  </si>
  <si>
    <t>https://en.wikipedia.org/wiki/Henry_Parker_(Georgia_official)</t>
  </si>
  <si>
    <t>Henry Sloughter</t>
  </si>
  <si>
    <t>https://en.wikipedia.org/wiki/Henry_Sloughter</t>
  </si>
  <si>
    <t>Henry Vane</t>
  </si>
  <si>
    <t>https://en.wikipedia.org/wiki/Henry_Vane_the_Younger</t>
  </si>
  <si>
    <t>https://en.wikipedia.org/wiki/Herbert_Jeffreys_(colonial_governor)</t>
  </si>
  <si>
    <t>Horatio Sharpe</t>
  </si>
  <si>
    <t>https://en.wikipedia.org/wiki/Horatio_Sharpe</t>
  </si>
  <si>
    <t>https://en.wikipedia.org/wiki/Hugh_Drysdale</t>
  </si>
  <si>
    <t>Jacob Leisler</t>
  </si>
  <si>
    <t>https://en.wikipedia.org/wiki/Jacob_Leisler</t>
  </si>
  <si>
    <t>Jacques Prevost</t>
  </si>
  <si>
    <t>https://en.wikipedia.org/wiki/Jacques_Marcus_Prevost</t>
  </si>
  <si>
    <t>https://en.wikipedia.org/wiki/James_Blair_(clergyman)</t>
  </si>
  <si>
    <t>https://en.wikipedia.org/wiki/James_Colleton</t>
  </si>
  <si>
    <t>James De Lancey</t>
  </si>
  <si>
    <t>https://en.wikipedia.org/wiki/James_De_Lancey</t>
  </si>
  <si>
    <t>https://en.wikipedia.org/wiki/James_Glen</t>
  </si>
  <si>
    <t>James Hamilton</t>
  </si>
  <si>
    <t>https://en.wikipedia.org/wiki/James_Hamilton_(Pennsylvania_politician)</t>
  </si>
  <si>
    <t>James Logan</t>
  </si>
  <si>
    <t>https://en.wikipedia.org/wiki/James_Logan_(statesman)</t>
  </si>
  <si>
    <t>https://en.wikipedia.org/wiki/James_Moore_Jr.</t>
  </si>
  <si>
    <t>https://en.wikipedia.org/wiki/James_Moore_Sr.</t>
  </si>
  <si>
    <t>James Oglethorpe</t>
  </si>
  <si>
    <t>https://en.wikipedia.org/wiki/James_Oglethorpe</t>
  </si>
  <si>
    <t>James Robertson</t>
  </si>
  <si>
    <t>https://en.wikipedia.org/wiki/James_Robertson_(British_Army_officer)</t>
  </si>
  <si>
    <t>James Wright</t>
  </si>
  <si>
    <t>https://en.wikipedia.org/wiki/James_Wright_(governor)</t>
  </si>
  <si>
    <t>https://en.wikipedia.org/wiki/Jeffery_Amherst,_1st_Baron_Amherst</t>
  </si>
  <si>
    <t>Jeremiah Basse</t>
  </si>
  <si>
    <t>https://en.wikipedia.org/wiki/Jeremiah_Basse</t>
  </si>
  <si>
    <t>Jeremy Clarke</t>
  </si>
  <si>
    <t>https://en.wikipedia.org/wiki/Jeremy_Clarke_(governor)</t>
  </si>
  <si>
    <t>Jesse Wharton</t>
  </si>
  <si>
    <t>https://en.wikipedia.org/wiki/Jesse_Wharton_(Maryland_governor)</t>
  </si>
  <si>
    <t>Johan Björnsson Printz</t>
  </si>
  <si>
    <t>https://en.wikipedia.org/wiki/Johan_Bj%C3%B6rnsson_Printz</t>
  </si>
  <si>
    <t>Johan Papegoja</t>
  </si>
  <si>
    <t>https://en.wikipedia.org/wiki/Johan_Papegoja</t>
  </si>
  <si>
    <t>Johan Classon Risingh</t>
  </si>
  <si>
    <t>https://en.wikipedia.org/wiki/Johan_Risingh</t>
  </si>
  <si>
    <t>https://en.wikipedia.org/wiki/John_Archdale</t>
  </si>
  <si>
    <t>John Blair</t>
  </si>
  <si>
    <t>https://en.wikipedia.org/wiki/John_Blair_Sr.</t>
  </si>
  <si>
    <t>https://en.wikipedia.org/wiki/John_Campbell,_4th_Earl_of_Loudoun</t>
  </si>
  <si>
    <t>John Carver</t>
  </si>
  <si>
    <t>https://en.wikipedia.org/wiki/John_Carver_(Plymouth_Colony_governor)</t>
  </si>
  <si>
    <t>John Coggeshall</t>
  </si>
  <si>
    <t>https://en.wikipedia.org/wiki/John_Coggeshall</t>
  </si>
  <si>
    <t>John Coode</t>
  </si>
  <si>
    <t>https://en.wikipedia.org/wiki/John_Coode_(Governor_of_Maryland)</t>
  </si>
  <si>
    <t>John Cranston</t>
  </si>
  <si>
    <t>https://en.wikipedia.org/wiki/John_Cranston_(governor)</t>
  </si>
  <si>
    <t>John Cutt</t>
  </si>
  <si>
    <t>https://en.wikipedia.org/wiki/John_Cutt</t>
  </si>
  <si>
    <t>John Easton</t>
  </si>
  <si>
    <t>https://en.wikipedia.org/wiki/John_Easton</t>
  </si>
  <si>
    <t>John Endecott</t>
  </si>
  <si>
    <t>https://en.wikipedia.org/wiki/John_Endecott</t>
  </si>
  <si>
    <t>John Evans</t>
  </si>
  <si>
    <t>https://en.wikipedia.org/wiki/John_Evans_(Pennsylvania_governor)</t>
  </si>
  <si>
    <t>John Hamilton</t>
  </si>
  <si>
    <t>https://en.wikipedia.org/wiki/John_Hamilton_(New_Jersey_politician)</t>
  </si>
  <si>
    <t>John Hart</t>
  </si>
  <si>
    <t>https://en.wikipedia.org/wiki/John_Hart_(Governor_of_Maryland)</t>
  </si>
  <si>
    <t>John Harvey</t>
  </si>
  <si>
    <t>https://en.wikipedia.org/wiki/John_Harvey_(Albemarle)</t>
  </si>
  <si>
    <t>https://en.wikipedia.org/wiki/John_Harvey_(Virginia_governor)</t>
  </si>
  <si>
    <t>John Haynes</t>
  </si>
  <si>
    <t>https://en.wikipedia.org/wiki/John_Haynes_(governor)</t>
  </si>
  <si>
    <t>John Jenkins</t>
  </si>
  <si>
    <t>https://en.wikipedia.org/wiki/John_Jenkins_(governor)</t>
  </si>
  <si>
    <t>John Leverett</t>
  </si>
  <si>
    <t>https://en.wikipedia.org/wiki/John_Leverett</t>
  </si>
  <si>
    <t>John Lovelace</t>
  </si>
  <si>
    <t>https://en.wikipedia.org/wiki/John_Lovelace,_4th_Baron_Lovelace</t>
  </si>
  <si>
    <t>John Montgomerie</t>
  </si>
  <si>
    <t>John Murray</t>
  </si>
  <si>
    <t>https://en.wikipedia.org/wiki/John_Murray,_4th_Earl_of_Dunmore</t>
  </si>
  <si>
    <t>John Nanfan</t>
  </si>
  <si>
    <t>https://en.wikipedia.org/wiki/John_Nanfan</t>
  </si>
  <si>
    <t>John Penn</t>
  </si>
  <si>
    <t>https://en.wikipedia.org/wiki/John_Penn_(%22the_American%22)</t>
  </si>
  <si>
    <t>https://en.wikipedia.org/wiki/John_Penn_(governor)</t>
  </si>
  <si>
    <t>https://en.wikipedia.org/wiki/John_Penn_(writer)</t>
  </si>
  <si>
    <t>https://en.wikipedia.org/wiki/John_Pott</t>
  </si>
  <si>
    <t>https://en.wikipedia.org/wiki/John_Ratcliffe_(governor)</t>
  </si>
  <si>
    <t>John Reynolds</t>
  </si>
  <si>
    <t>https://en.wikipedia.org/wiki/John_Reynolds_(Royal_Navy_officer)</t>
  </si>
  <si>
    <t>John Robinson Sr.</t>
  </si>
  <si>
    <t>https://en.wikipedia.org/wiki/John_Robinson_(burgess)</t>
  </si>
  <si>
    <t>John Robinson</t>
  </si>
  <si>
    <t>https://en.wikipedia.org/wiki/John_Robinson_(Virginia_politician,_born_1705)</t>
  </si>
  <si>
    <t>John Sanford</t>
  </si>
  <si>
    <t>https://en.wikipedia.org/wiki/John_Sanford_(governor)</t>
  </si>
  <si>
    <t>John Seymour</t>
  </si>
  <si>
    <t>https://en.wikipedia.org/wiki/John_Seymour_(Maryland_governor)</t>
  </si>
  <si>
    <t>https://en.wikipedia.org/wiki/John_Smith_(explorer)</t>
  </si>
  <si>
    <t>https://en.wikipedia.org/wiki/John_Smith_(President_of_Rhode_Island)</t>
  </si>
  <si>
    <t>John Wanton</t>
  </si>
  <si>
    <t>https://en.wikipedia.org/wiki/John_Wanton</t>
  </si>
  <si>
    <t>John Webster</t>
  </si>
  <si>
    <t>https://en.wikipedia.org/wiki/John_Webster_(governor)</t>
  </si>
  <si>
    <t>John Wentworth</t>
  </si>
  <si>
    <t>https://en.wikipedia.org/wiki/John_Wentworth_(governor)</t>
  </si>
  <si>
    <t>https://en.wikipedia.org/wiki/John_West_(governor)</t>
  </si>
  <si>
    <t>https://en.wikipedia.org/wiki/John_West,_1st_Earl_De_La_Warr</t>
  </si>
  <si>
    <t>John White</t>
  </si>
  <si>
    <t>https://en.wikipedia.org/wiki/John_White_(colonist_and_artist)</t>
  </si>
  <si>
    <t>John Winthrop</t>
  </si>
  <si>
    <t>https://en.wikipedia.org/wiki/John_Winthrop</t>
  </si>
  <si>
    <t>https://en.wikipedia.org/wiki/John_Winthrop_the_Younger</t>
  </si>
  <si>
    <t>John Winthrop the Younger</t>
  </si>
  <si>
    <t>https://en.wikipedia.org/wiki/John_Yeamans</t>
  </si>
  <si>
    <t>Jonathan Law</t>
  </si>
  <si>
    <t>https://en.wikipedia.org/wiki/Jonathan_Law</t>
  </si>
  <si>
    <t>Jonathan Trumbull</t>
  </si>
  <si>
    <t>https://en.wikipedia.org/wiki/Jonathan_Trumbull</t>
  </si>
  <si>
    <t>https://en.wikipedia.org/wiki/Joseph_Blake_(governor)</t>
  </si>
  <si>
    <t>Joseph Dudley</t>
  </si>
  <si>
    <t>https://en.wikipedia.org/wiki/Joseph_Dudley</t>
  </si>
  <si>
    <t>Joseph Jenckes</t>
  </si>
  <si>
    <t>https://en.wikipedia.org/wiki/Joseph_Jenckes_(governor)</t>
  </si>
  <si>
    <t>https://en.wikipedia.org/wiki/Joseph_Morton_(governor)</t>
  </si>
  <si>
    <t>Joseph Talcott</t>
  </si>
  <si>
    <t>https://en.wikipedia.org/wiki/Joseph_Talcott</t>
  </si>
  <si>
    <t>Joseph Wanton</t>
  </si>
  <si>
    <t>https://en.wikipedia.org/wiki/Joseph_Wanton</t>
  </si>
  <si>
    <t>https://en.wikipedia.org/wiki/Joseph_West_(politician)</t>
  </si>
  <si>
    <t>Josiah Winslow</t>
  </si>
  <si>
    <t>https://en.wikipedia.org/wiki/Josiah_Winslow</t>
  </si>
  <si>
    <t>Josias Fendall</t>
  </si>
  <si>
    <t>https://en.wikipedia.org/wiki/Josias_Fendall</t>
  </si>
  <si>
    <t>Josias Lyndon</t>
  </si>
  <si>
    <t>https://en.wikipedia.org/wiki/Josias_Lyndon</t>
  </si>
  <si>
    <t>Leonard Calvert</t>
  </si>
  <si>
    <t>https://en.wikipedia.org/wiki/Leonard_Calvert</t>
  </si>
  <si>
    <t>Lionel Copley</t>
  </si>
  <si>
    <t>https://en.wikipedia.org/wiki/Lionel_Copley</t>
  </si>
  <si>
    <t>https://en.wikipedia.org/wiki/Lord_Charles_Montagu</t>
  </si>
  <si>
    <t>https://en.wikipedia.org/wiki/Lord_William_Campbell</t>
  </si>
  <si>
    <t>Matthew Cradock</t>
  </si>
  <si>
    <t>https://en.wikipedia.org/wiki/Matthew_Cradock</t>
  </si>
  <si>
    <t>https://en.wikipedia.org/wiki/Matthew_Scrivener</t>
  </si>
  <si>
    <t>https://en.wikipedia.org/wiki/Nathaniel_Bacon_(Virginia_politician)</t>
  </si>
  <si>
    <t>Nathaniel Blakiston</t>
  </si>
  <si>
    <t>https://en.wikipedia.org/wiki/Nathaniel_Blakiston</t>
  </si>
  <si>
    <t>https://en.wikipedia.org/wiki/Nathaniel_Johnson_(politician)</t>
  </si>
  <si>
    <t>Nehemiah Blakiston</t>
  </si>
  <si>
    <t>https://en.wikipedia.org/wiki/Nehemiah_Blakiston</t>
  </si>
  <si>
    <t>Nicholas Cooke</t>
  </si>
  <si>
    <t>https://en.wikipedia.org/wiki/Nicholas_Cooke</t>
  </si>
  <si>
    <t>Nicholas Easton</t>
  </si>
  <si>
    <t>https://en.wikipedia.org/wiki/Nicholas_Easton</t>
  </si>
  <si>
    <t>Nicholas Greenberry</t>
  </si>
  <si>
    <t>https://en.wikipedia.org/wiki/Nicholas_Greenberry</t>
  </si>
  <si>
    <t>https://en.wikipedia.org/wiki/Nicholas_Spencer</t>
  </si>
  <si>
    <t>Norborne Berkeley</t>
  </si>
  <si>
    <t>https://en.wikipedia.org/wiki/Norborne_Berkeley,_4th_Baron_Botetourt</t>
  </si>
  <si>
    <t>Patrick Gordon</t>
  </si>
  <si>
    <t>https://en.wikipedia.org/wiki/Patrick_Gordon_(governor)</t>
  </si>
  <si>
    <t>Peleg Sanford</t>
  </si>
  <si>
    <t>https://en.wikipedia.org/wiki/Peleg_Sanford</t>
  </si>
  <si>
    <t>Peter Carteret</t>
  </si>
  <si>
    <t>https://en.wikipedia.org/wiki/Peter_Carteret</t>
  </si>
  <si>
    <t>Peter Hollander Ridder</t>
  </si>
  <si>
    <t>https://en.wikipedia.org/wiki/Peter_Hollander_Ridder</t>
  </si>
  <si>
    <t>Peter Minuit</t>
  </si>
  <si>
    <t>https://en.wikipedia.org/wiki/Peter_Minuit</t>
  </si>
  <si>
    <t>Peter Stuyvesant</t>
  </si>
  <si>
    <t>https://en.wikipedia.org/wiki/Peter_Stuyvesant</t>
  </si>
  <si>
    <t>https://en.wikipedia.org/wiki/Philip_Ludwell</t>
  </si>
  <si>
    <t>Phillip Calvert</t>
  </si>
  <si>
    <t>https://en.wikipedia.org/wiki/Phillip_Calvert_(governor)</t>
  </si>
  <si>
    <t>Pieter Schuyler</t>
  </si>
  <si>
    <t>https://en.wikipedia.org/wiki/Pieter_Schuyler</t>
  </si>
  <si>
    <t>Ralph Lane</t>
  </si>
  <si>
    <t>https://en.wikipedia.org/wiki/Ralph_Lane</t>
  </si>
  <si>
    <t>Richard Bellingham</t>
  </si>
  <si>
    <t>https://en.wikipedia.org/wiki/Richard_Bellingham</t>
  </si>
  <si>
    <t>https://en.wikipedia.org/wiki/Richard_Bennett_(governor)</t>
  </si>
  <si>
    <t>Richard Coote</t>
  </si>
  <si>
    <t>https://en.wikipedia.org/wiki/Richard_Coote,_1st_Earl_of_Bellomont</t>
  </si>
  <si>
    <t>Richard Greene</t>
  </si>
  <si>
    <t>https://en.wikipedia.org/wiki/Richard_Greene_(colonist)</t>
  </si>
  <si>
    <t>https://en.wikipedia.org/wiki/Richard_Kyrle</t>
  </si>
  <si>
    <t>Richard Penn</t>
  </si>
  <si>
    <t>https://en.wikipedia.org/wiki/Richard_Penn_(governor)</t>
  </si>
  <si>
    <t>Richard Vines</t>
  </si>
  <si>
    <t>https://en.wikipedia.org/wiki/Richard_Vines_(colonist)</t>
  </si>
  <si>
    <t>Richard Waldron</t>
  </si>
  <si>
    <t>https://en.wikipedia.org/wiki/Richard_Waldron</t>
  </si>
  <si>
    <t>Richard Ward</t>
  </si>
  <si>
    <t>https://en.wikipedia.org/wiki/Richard_Ward_(governor)</t>
  </si>
  <si>
    <t>Rip Van Dam</t>
  </si>
  <si>
    <t>https://en.wikipedia.org/wiki/Rip_Van_Dam</t>
  </si>
  <si>
    <t>Robert Barclay</t>
  </si>
  <si>
    <t>https://en.wikipedia.org/wiki/Robert_Barclay</t>
  </si>
  <si>
    <t>Robert Carter</t>
  </si>
  <si>
    <t>https://en.wikipedia.org/wiki/Robert_Carter_I</t>
  </si>
  <si>
    <t>https://en.wikipedia.org/wiki/Robert_Daniell</t>
  </si>
  <si>
    <t>https://en.wikipedia.org/wiki/Robert_Dinwiddie</t>
  </si>
  <si>
    <t>https://en.wikipedia.org/wiki/Robert_Gibbes</t>
  </si>
  <si>
    <t>Robert Gorges</t>
  </si>
  <si>
    <t>https://en.wikipedia.org/wiki/Robert_Gorges</t>
  </si>
  <si>
    <t>Robert Hunter Morris</t>
  </si>
  <si>
    <t>https://en.wikipedia.org/wiki/Robert_Hunter_Morris</t>
  </si>
  <si>
    <t>https://en.wikipedia.org/wiki/Robert_Johnson_(governor)</t>
  </si>
  <si>
    <t>Robert Monckton</t>
  </si>
  <si>
    <t>https://en.wikipedia.org/wiki/Robert_Monckton</t>
  </si>
  <si>
    <t>https://en.wikipedia.org/wiki/Robert_Quary</t>
  </si>
  <si>
    <t>Robert Treat</t>
  </si>
  <si>
    <t>https://en.wikipedia.org/wiki/Robert_Treat</t>
  </si>
  <si>
    <t>Roger Williams</t>
  </si>
  <si>
    <t>https://en.wikipedia.org/wiki/Roger_Williams</t>
  </si>
  <si>
    <t>Roger Wolcott</t>
  </si>
  <si>
    <t>https://en.wikipedia.org/wiki/Roger_Wolcott_(Connecticut_politician)</t>
  </si>
  <si>
    <t>Samuel Allen</t>
  </si>
  <si>
    <t>https://en.wikipedia.org/wiki/Samuel_Allen_(New_Hampshire_governor)</t>
  </si>
  <si>
    <t>Samuel Carpenter</t>
  </si>
  <si>
    <t>https://en.wikipedia.org/wiki/Samuel_Carpenter</t>
  </si>
  <si>
    <t>Samuel Cranston</t>
  </si>
  <si>
    <t>https://en.wikipedia.org/wiki/Samuel_Cranston</t>
  </si>
  <si>
    <t>Samuel Gorton</t>
  </si>
  <si>
    <t>https://en.wikipedia.org/wiki/Samuel_Gorton</t>
  </si>
  <si>
    <t>Samuel Mathews</t>
  </si>
  <si>
    <t>https://en.wikipedia.org/wiki/Samuel_Mathews_(Colonial_Virginia_governor)</t>
  </si>
  <si>
    <t>Samuel Ogle</t>
  </si>
  <si>
    <t>https://en.wikipedia.org/wiki/Samuel_Ogle</t>
  </si>
  <si>
    <t>Samuel Shute</t>
  </si>
  <si>
    <t>https://en.wikipedia.org/wiki/Samuel_Shute</t>
  </si>
  <si>
    <t>Samuel Stephens</t>
  </si>
  <si>
    <t>https://en.wikipedia.org/wiki/Samuel_Stephens_(North_Carolina_governor)</t>
  </si>
  <si>
    <t>Samuel Ward</t>
  </si>
  <si>
    <t>https://en.wikipedia.org/wiki/Samuel_Ward_(Rhode_Island_politician)</t>
  </si>
  <si>
    <t>Sebastiaen Jansen Krol</t>
  </si>
  <si>
    <t>https://en.wikipedia.org/wiki/Sebastiaen_Jansen_Krol</t>
  </si>
  <si>
    <t>Seth Sothel</t>
  </si>
  <si>
    <t>https://en.wikipedia.org/wiki/Seth_Sothel</t>
  </si>
  <si>
    <t>Simon Bradstreet</t>
  </si>
  <si>
    <t>https://en.wikipedia.org/wiki/Simon_Bradstreet</t>
  </si>
  <si>
    <t>Danvers Osborn</t>
  </si>
  <si>
    <t>https://en.wikipedia.org/wiki/Sir_Danvers_Osborn,_3rd_Baronet</t>
  </si>
  <si>
    <t>George Thomas</t>
  </si>
  <si>
    <t>https://en.wikipedia.org/wiki/Sir_George_Thomas,_1st_Baronet</t>
  </si>
  <si>
    <t>https://en.wikipedia.org/wiki/Sir_Henry_Moore,_1st_Baronet</t>
  </si>
  <si>
    <t>Robert Eden</t>
  </si>
  <si>
    <t>https://en.wikipedia.org/wiki/Sir_Robert_Eden,_1st_Baronet,_of_Maryland</t>
  </si>
  <si>
    <t>William Gooch</t>
  </si>
  <si>
    <t>https://en.wikipedia.org/wiki/Sir_William_Gooch,_1st_Baronet</t>
  </si>
  <si>
    <t>William Keith</t>
  </si>
  <si>
    <t>https://en.wikipedia.org/wiki/Sir_William_Keith,_4th_Baronet</t>
  </si>
  <si>
    <t>Spencer Phips</t>
  </si>
  <si>
    <t>https://en.wikipedia.org/wiki/Spencer_Phips</t>
  </si>
  <si>
    <t>Stephen Hopkins</t>
  </si>
  <si>
    <t>https://en.wikipedia.org/wiki/Stephen_Hopkins_(politician)</t>
  </si>
  <si>
    <t>Theophilus Eaton</t>
  </si>
  <si>
    <t>https://en.wikipedia.org/wiki/Theophilus_Eaton</t>
  </si>
  <si>
    <t>Thomas Bladen</t>
  </si>
  <si>
    <t>https://en.wikipedia.org/wiki/Thomas_Bladen</t>
  </si>
  <si>
    <t>Thomas Brooke, Jr.</t>
  </si>
  <si>
    <t>https://en.wikipedia.org/wiki/Thomas_Brooke_Jr.</t>
  </si>
  <si>
    <t>https://en.wikipedia.org/wiki/Thomas_Broughton_(acting_governor)</t>
  </si>
  <si>
    <t>Thomas Cary</t>
  </si>
  <si>
    <t>https://en.wikipedia.org/wiki/Thomas_Cary_(North_Carolina)</t>
  </si>
  <si>
    <t>Thomas Culpeper</t>
  </si>
  <si>
    <t>https://en.wikipedia.org/wiki/Thomas_Colepeper,_2nd_Baron_Colepeper</t>
  </si>
  <si>
    <t>Thomas Danforth</t>
  </si>
  <si>
    <t>https://en.wikipedia.org/wiki/Thomas_Danforth</t>
  </si>
  <si>
    <t>Thomas Dongan</t>
  </si>
  <si>
    <t>https://en.wikipedia.org/wiki/Thomas_Dongan,_2nd_Earl_of_Limerick</t>
  </si>
  <si>
    <t>Thomas Dudley</t>
  </si>
  <si>
    <t>https://en.wikipedia.org/wiki/Thomas_Dudley</t>
  </si>
  <si>
    <t>Thomas Eastchurch</t>
  </si>
  <si>
    <t>https://en.wikipedia.org/wiki/Thomas_Eastchurch</t>
  </si>
  <si>
    <t>Thomas Fitch</t>
  </si>
  <si>
    <t>https://en.wikipedia.org/wiki/Thomas_Fitch_(governor)</t>
  </si>
  <si>
    <t>Thomas Gorges</t>
  </si>
  <si>
    <t>https://en.wikipedia.org/wiki/Thomas_Gorges_(Maine_governor)</t>
  </si>
  <si>
    <t>Thomas Greene</t>
  </si>
  <si>
    <t>https://en.wikipedia.org/wiki/Thomas_Greene_(governor)</t>
  </si>
  <si>
    <t>Thomas Harvey</t>
  </si>
  <si>
    <t>https://en.wikipedia.org/wiki/Thomas_Harvey_(North_Carolina_governor)</t>
  </si>
  <si>
    <t>Thomas Hinckley</t>
  </si>
  <si>
    <t>https://en.wikipedia.org/wiki/Thomas_Hinckley</t>
  </si>
  <si>
    <t>Thomas Hutchinson</t>
  </si>
  <si>
    <t>https://en.wikipedia.org/wiki/Thomas_Hutchinson_(governor)</t>
  </si>
  <si>
    <t>Thomas Jarvis</t>
  </si>
  <si>
    <t>https://en.wikipedia.org/wiki/Thomas_Jarvis</t>
  </si>
  <si>
    <t>Thomas Lawrence</t>
  </si>
  <si>
    <t>https://en.wikipedia.org/wiki/Thomas_Lawrence_(Governor_of_Maryland)</t>
  </si>
  <si>
    <t>https://en.wikipedia.org/wiki/Thomas_Lee_(Virginia_colonist)</t>
  </si>
  <si>
    <t>Thomas Lloyd</t>
  </si>
  <si>
    <t>https://en.wikipedia.org/wiki/Thomas_Lloyd_(lieutenant_governor)</t>
  </si>
  <si>
    <t>Thomas Miller</t>
  </si>
  <si>
    <t>https://en.wikipedia.org/wiki/Thomas_Miller_(North_Carolina_governor)</t>
  </si>
  <si>
    <t>Thomas Notley</t>
  </si>
  <si>
    <t>https://en.wikipedia.org/wiki/Thomas_Notley</t>
  </si>
  <si>
    <t>Thomas Penn</t>
  </si>
  <si>
    <t>https://en.wikipedia.org/wiki/Thomas_Penn</t>
  </si>
  <si>
    <t>Thomas Pownall</t>
  </si>
  <si>
    <t>https://en.wikipedia.org/wiki/Thomas_Pownall</t>
  </si>
  <si>
    <t>Thomas Prence</t>
  </si>
  <si>
    <t>https://en.wikipedia.org/wiki/Thomas_Prence</t>
  </si>
  <si>
    <t>https://en.wikipedia.org/wiki/Thomas_Smith_(governor_of_South_Carolina)</t>
  </si>
  <si>
    <t>Thomas Tench</t>
  </si>
  <si>
    <t>https://en.wikipedia.org/wiki/Thomas_Tench</t>
  </si>
  <si>
    <t>Thomas Welles</t>
  </si>
  <si>
    <t>https://en.wikipedia.org/wiki/Thomas_Welles</t>
  </si>
  <si>
    <t>Thomas West</t>
  </si>
  <si>
    <t>https://en.wikipedia.org/wiki/Thomas_West,_3rd_Baron_De_La_Warr</t>
  </si>
  <si>
    <t>Thomas Wiggin</t>
  </si>
  <si>
    <t>https://en.wikipedia.org/wiki/Thomas_Wiggin</t>
  </si>
  <si>
    <t>Walter Barefoote</t>
  </si>
  <si>
    <t>https://en.wikipedia.org/wiki/Walter_Barefoote</t>
  </si>
  <si>
    <t>Walter Clarke</t>
  </si>
  <si>
    <t>https://en.wikipedia.org/wiki/Walter_Clarke_(governor)</t>
  </si>
  <si>
    <t>Walter Neale</t>
  </si>
  <si>
    <t>https://en.wikipedia.org/wiki/Walter_Neale</t>
  </si>
  <si>
    <t>Walter Raleigh</t>
  </si>
  <si>
    <t>https://en.wikipedia.org/wiki/Walter_Raleigh</t>
  </si>
  <si>
    <t>Willem Kieft</t>
  </si>
  <si>
    <t>https://en.wikipedia.org/wiki/Willem_Kieft</t>
  </si>
  <si>
    <t>https://en.wikipedia.org/wiki/Willem_van_Keppel,_2nd_Earl_of_Albemarle</t>
  </si>
  <si>
    <t>William Bradford</t>
  </si>
  <si>
    <t>https://en.wikipedia.org/wiki/William_Bradford_(governor)</t>
  </si>
  <si>
    <t>William Brenton</t>
  </si>
  <si>
    <t>https://en.wikipedia.org/wiki/William_Brenton</t>
  </si>
  <si>
    <t>https://en.wikipedia.org/wiki/William_Bull_(governor)</t>
  </si>
  <si>
    <t>https://en.wikipedia.org/wiki/William_Bull_II</t>
  </si>
  <si>
    <t>https://en.wikipedia.org/wiki/William_Burnet_(administrator)</t>
  </si>
  <si>
    <t>William Coddington</t>
  </si>
  <si>
    <t>https://en.wikipedia.org/wiki/William_Coddington</t>
  </si>
  <si>
    <t>William Coddington Jr.</t>
  </si>
  <si>
    <t>https://en.wikipedia.org/wiki/William_Coddington_Jr.</t>
  </si>
  <si>
    <t>William Cosby</t>
  </si>
  <si>
    <t>https://en.wikipedia.org/wiki/William_Cosby</t>
  </si>
  <si>
    <t>William Drummond</t>
  </si>
  <si>
    <t>https://en.wikipedia.org/wiki/William_Drummond_(colonial_governor)</t>
  </si>
  <si>
    <t>William Dummer</t>
  </si>
  <si>
    <t>https://en.wikipedia.org/wiki/William_Dummer</t>
  </si>
  <si>
    <t>William Glover</t>
  </si>
  <si>
    <t>https://en.wikipedia.org/wiki/William_Glover_(North_Carolina_governor)</t>
  </si>
  <si>
    <t>William Gorges</t>
  </si>
  <si>
    <t>https://en.wikipedia.org/wiki/William_Gorges</t>
  </si>
  <si>
    <t>William Greene</t>
  </si>
  <si>
    <t>https://en.wikipedia.org/wiki/William_Greene_(colonial_governor)</t>
  </si>
  <si>
    <t>William Hutchinson</t>
  </si>
  <si>
    <t>https://en.wikipedia.org/wiki/William_Hutchinson_(Rhode_Island_judge)</t>
  </si>
  <si>
    <t>William Leete</t>
  </si>
  <si>
    <t>https://en.wikipedia.org/wiki/William_Leete</t>
  </si>
  <si>
    <t>https://en.wikipedia.org/wiki/William_Lyttelton,_1st_Baron_Lyttelton</t>
  </si>
  <si>
    <t>William Markham</t>
  </si>
  <si>
    <t>https://en.wikipedia.org/wiki/William_Markham_(governor)</t>
  </si>
  <si>
    <t>https://en.wikipedia.org/wiki/William_Nelson_(governor)</t>
  </si>
  <si>
    <t>William Penn</t>
  </si>
  <si>
    <t>https://en.wikipedia.org/wiki/William_Penn</t>
  </si>
  <si>
    <t>William Phips</t>
  </si>
  <si>
    <t>https://en.wikipedia.org/wiki/William_Phips</t>
  </si>
  <si>
    <t>William Pitkin</t>
  </si>
  <si>
    <t>https://en.wikipedia.org/wiki/William_Pitkin</t>
  </si>
  <si>
    <t>William Sayle</t>
  </si>
  <si>
    <t>https://en.wikipedia.org/wiki/William_Sayle</t>
  </si>
  <si>
    <t>William Shirley</t>
  </si>
  <si>
    <t>https://en.wikipedia.org/wiki/William_Shirley</t>
  </si>
  <si>
    <t>William Stephens</t>
  </si>
  <si>
    <t>https://en.wikipedia.org/wiki/William_Stephens_(governor_of_Georgia)</t>
  </si>
  <si>
    <t>William Stone</t>
  </si>
  <si>
    <t>https://en.wikipedia.org/wiki/William_Stone_(Maryland_governor)</t>
  </si>
  <si>
    <t>William Stoughton</t>
  </si>
  <si>
    <t>https://en.wikipedia.org/wiki/William_Stoughton_(judge)</t>
  </si>
  <si>
    <t>William Tailer</t>
  </si>
  <si>
    <t>https://en.wikipedia.org/wiki/William_Tailer</t>
  </si>
  <si>
    <t>William Tryon</t>
  </si>
  <si>
    <t>https://en.wikipedia.org/wiki/William_Tryon</t>
  </si>
  <si>
    <t>William Wanton</t>
  </si>
  <si>
    <t>https://en.wikipedia.org/wiki/William_Wanton</t>
  </si>
  <si>
    <t>Wouter van Twiller</t>
  </si>
  <si>
    <t>https://en.wikipedia.org/wiki/Wouter_van_Twiller</t>
  </si>
  <si>
    <t>Wouter</t>
  </si>
  <si>
    <t>van Twiller</t>
  </si>
  <si>
    <t>William Henry</t>
  </si>
  <si>
    <t>Lyttleton</t>
  </si>
  <si>
    <t xml:space="preserve">Willem </t>
  </si>
  <si>
    <t>Anne van Keppel</t>
  </si>
  <si>
    <t>Henry Moore</t>
  </si>
  <si>
    <t>Joseph Bridger</t>
  </si>
  <si>
    <t>Rip</t>
  </si>
  <si>
    <t>Van Dam</t>
  </si>
  <si>
    <t>James</t>
  </si>
  <si>
    <t>De Lancey</t>
  </si>
  <si>
    <t>Anthony</t>
  </si>
  <si>
    <t>John</t>
  </si>
  <si>
    <t>Patrick</t>
  </si>
  <si>
    <t>Raleigh</t>
  </si>
  <si>
    <t>Alexander</t>
  </si>
  <si>
    <t>Rigby</t>
  </si>
  <si>
    <t>Spotswood</t>
  </si>
  <si>
    <t>Andrew</t>
  </si>
  <si>
    <t>Bowne</t>
  </si>
  <si>
    <t>Elliot</t>
  </si>
  <si>
    <t>Hamilton</t>
  </si>
  <si>
    <t>Brockholls</t>
  </si>
  <si>
    <t>Colve</t>
  </si>
  <si>
    <t>Archibald</t>
  </si>
  <si>
    <t>Campbell</t>
  </si>
  <si>
    <t>Arthur</t>
  </si>
  <si>
    <t>Middleton</t>
  </si>
  <si>
    <t>Benedict</t>
  </si>
  <si>
    <t>Arnold</t>
  </si>
  <si>
    <t>Calvert</t>
  </si>
  <si>
    <t>Benedict Leonard</t>
  </si>
  <si>
    <t>Benjamin</t>
  </si>
  <si>
    <t>Fletcher</t>
  </si>
  <si>
    <t>Tasker</t>
  </si>
  <si>
    <t>Benning</t>
  </si>
  <si>
    <t>Wentworth</t>
  </si>
  <si>
    <t>Beverley</t>
  </si>
  <si>
    <t>Robinson</t>
  </si>
  <si>
    <t>Cadwallader</t>
  </si>
  <si>
    <t>Colden</t>
  </si>
  <si>
    <t>Caleb</t>
  </si>
  <si>
    <t>Carr</t>
  </si>
  <si>
    <t>Charles</t>
  </si>
  <si>
    <t>Craven</t>
  </si>
  <si>
    <t>Gookin</t>
  </si>
  <si>
    <t>Hardy</t>
  </si>
  <si>
    <t>Cornelius Jacobsen</t>
  </si>
  <si>
    <t>May</t>
  </si>
  <si>
    <t>Daniel</t>
  </si>
  <si>
    <t>Coxe</t>
  </si>
  <si>
    <t>Edmund</t>
  </si>
  <si>
    <t>Andros</t>
  </si>
  <si>
    <t>Jenings</t>
  </si>
  <si>
    <t>Edward</t>
  </si>
  <si>
    <t>Byllynge</t>
  </si>
  <si>
    <t>Cranfield</t>
  </si>
  <si>
    <t>Digges</t>
  </si>
  <si>
    <t>Godfrey</t>
  </si>
  <si>
    <t>Hopkins</t>
  </si>
  <si>
    <t>Hyde</t>
  </si>
  <si>
    <t>Lloyd</t>
  </si>
  <si>
    <t>Edward Maria</t>
  </si>
  <si>
    <t>Wingfield</t>
  </si>
  <si>
    <t>Nott</t>
  </si>
  <si>
    <t>Shippen</t>
  </si>
  <si>
    <t>Winslow</t>
  </si>
  <si>
    <t>Ferdinando</t>
  </si>
  <si>
    <t>Gorges</t>
  </si>
  <si>
    <t>Fitz-John</t>
  </si>
  <si>
    <t>Winthrop</t>
  </si>
  <si>
    <t>Francis</t>
  </si>
  <si>
    <t>Fauquier</t>
  </si>
  <si>
    <t>Howard</t>
  </si>
  <si>
    <t>Lovelace</t>
  </si>
  <si>
    <t>Moryson</t>
  </si>
  <si>
    <t>Newman</t>
  </si>
  <si>
    <t>Nicholson</t>
  </si>
  <si>
    <t>West</t>
  </si>
  <si>
    <t>Wyatt</t>
  </si>
  <si>
    <t>George</t>
  </si>
  <si>
    <t>Burdett</t>
  </si>
  <si>
    <t>Clarke</t>
  </si>
  <si>
    <t>Cleeve</t>
  </si>
  <si>
    <t>Clinton</t>
  </si>
  <si>
    <t>Fenwick</t>
  </si>
  <si>
    <t>Percy</t>
  </si>
  <si>
    <t>Popham</t>
  </si>
  <si>
    <t>Reade</t>
  </si>
  <si>
    <t>Wyllys</t>
  </si>
  <si>
    <t>Yeardley</t>
  </si>
  <si>
    <t>Gerardus</t>
  </si>
  <si>
    <t>Beekman</t>
  </si>
  <si>
    <t>Gideon</t>
  </si>
  <si>
    <t>Wanton</t>
  </si>
  <si>
    <t>Gregory</t>
  </si>
  <si>
    <t>Dexter</t>
  </si>
  <si>
    <t>Gurdon</t>
  </si>
  <si>
    <t>Saltonstall</t>
  </si>
  <si>
    <t>Walker</t>
  </si>
  <si>
    <t>Henry</t>
  </si>
  <si>
    <t>Bull</t>
  </si>
  <si>
    <t>Chicheley</t>
  </si>
  <si>
    <t>Ellis</t>
  </si>
  <si>
    <t>Jocelyn</t>
  </si>
  <si>
    <t>Laurens</t>
  </si>
  <si>
    <t>Parker</t>
  </si>
  <si>
    <t>Sloughter</t>
  </si>
  <si>
    <t>Vane</t>
  </si>
  <si>
    <t>Herbert</t>
  </si>
  <si>
    <t>Jeffreys</t>
  </si>
  <si>
    <t>Horatio</t>
  </si>
  <si>
    <t>Sharpe</t>
  </si>
  <si>
    <t>Hugh</t>
  </si>
  <si>
    <t>Drysdale</t>
  </si>
  <si>
    <t>Jacob</t>
  </si>
  <si>
    <t>Leisler</t>
  </si>
  <si>
    <t>Jacques</t>
  </si>
  <si>
    <t>Prevost</t>
  </si>
  <si>
    <t>Blair</t>
  </si>
  <si>
    <t>Colleton</t>
  </si>
  <si>
    <t>18 August 1650</t>
  </si>
  <si>
    <t>Alexander Rigby (1594 – 18 August 1650) was an English lawyer and politician who sat in the House of Commons between 1640 and 1650. He was a colonel in the Parliamentary army in the English Civil War.</t>
  </si>
  <si>
    <t>12 December 1676</t>
  </si>
  <si>
    <t>7 June 1740</t>
  </si>
  <si>
    <t>English Tangier, Morocco</t>
  </si>
  <si>
    <t>Annapolis, Province of Maryland</t>
  </si>
  <si>
    <t>Alexander Spotswood 12 December 1676 – 7 June 1740 was a British Army officer, explorer and lieutenant governor of Colonial Virginia; he is regarded as one of the most significant historical figures in British North American colonial history.</t>
  </si>
  <si>
    <t>c1638</t>
  </si>
  <si>
    <t>Salem, Massachusetts</t>
  </si>
  <si>
    <t>c1708</t>
  </si>
  <si>
    <t>Monmouth County, New Jersey</t>
  </si>
  <si>
    <t>Captain Andrew Bowne c. 1638 - c. 1708 was an American colonial politician and jurist, who served in various capacities in both New York and New Jersey.</t>
  </si>
  <si>
    <t>November 1728</t>
  </si>
  <si>
    <t>25 May 1797</t>
  </si>
  <si>
    <t>Mount Teviot, Jedburgh, Scotland</t>
  </si>
  <si>
    <t>Andrew Elliot November 1728 – 25 May 1797 was a British merchant and official who served as the Acting and last British Governor of New York in 1783.</t>
  </si>
  <si>
    <t>20 April 1703</t>
  </si>
  <si>
    <t>New Jersey</t>
  </si>
  <si>
    <t>Andrew Hamilton died 1703 was the colonial governor of East and West New Jersey from 1692 to 1697 and again from 1699 to 1703. He also served as Deputy Governor of the neighboring Province of Pennsylvania.</t>
  </si>
  <si>
    <t>c. 1656</t>
  </si>
  <si>
    <t>August 29, 1723</t>
  </si>
  <si>
    <t>Bergen County, New Jersey</t>
  </si>
  <si>
    <t>Major Anthony Brockholls or Brockholst c. 1656 – August 29, 1723 was and English born Commander-in-Chief 1677-8 and then acting Governor 1681-2 of New York.</t>
  </si>
  <si>
    <t>Anthony or Anthonij Colve fl. 1667-1695 was a Dutch naval captain and the Director-General of New Netherland during a brief restoration of Dutch rule in New Netherland roughly present-day New York and New Jersey.</t>
  </si>
  <si>
    <t>nveraray, Scotland</t>
  </si>
  <si>
    <t>Sir Archibald Campbell KB 21 August 1739 – 31 March 1791 served as governor of Georgia, Jamaica, and Madras. He was a major Scottish landowner, Heritable Usher of the White Rod for Scotland and politician who sat in the House of Commons between 1774 and 1791.</t>
  </si>
  <si>
    <t>September 17, 1737</t>
  </si>
  <si>
    <t>Arthur Middleton October 29, 1681 – September 17, 1737 was a South Carolina planter and Acting Governor of the Province of South Carolina from May 7, 1725, to December 1730.</t>
  </si>
  <si>
    <t>21 December 1615</t>
  </si>
  <si>
    <t>Ilchester, Somerset</t>
  </si>
  <si>
    <t>19 June 1678</t>
  </si>
  <si>
    <t>Newport, Rhode Island</t>
  </si>
  <si>
    <t>Benedict Arnold December 21, 1615 – June 19, 1678 was president and then governor of the Colony of Rhode Island and Providence Plantations, serving for a total of 11 years in these roles</t>
  </si>
  <si>
    <t>16 April 1715</t>
  </si>
  <si>
    <t>Benedict Leonard Calvert, 4th Baron Baltimore 21 March 1679 – 16 April 1715 was an English nobleman and politician.</t>
  </si>
  <si>
    <t>September 20, 1700</t>
  </si>
  <si>
    <t>Surrey, England</t>
  </si>
  <si>
    <t>June 1, 1732</t>
  </si>
  <si>
    <t>Benedict Leonard Calvert September 20, 1700 – June 1, 1732 was the 15th Proprietary Governor of Maryland from 1727 through 1731, appointed by his older brother, Charles Calvert, 5th Baron Baltimore 1699–1751.</t>
  </si>
  <si>
    <t>14 May 1640</t>
  </si>
  <si>
    <t>28 May 1703</t>
  </si>
  <si>
    <t>Boyle, Ireland</t>
  </si>
  <si>
    <t>Benjamin Fletcher 14 May 1640 – 28 May 1703 was colonial governor of New York from 1692 to 1697. Fletcher was known for the Ministry Act of 1693, which secured the place of Anglicans as the official religion in New York. He also built the first Trinity Church in 1698.</t>
  </si>
  <si>
    <t>c. 1690</t>
  </si>
  <si>
    <t>Calvert County, Maryland,</t>
  </si>
  <si>
    <t>June 19, 1768</t>
  </si>
  <si>
    <t>Annapolis, Maryland</t>
  </si>
  <si>
    <t>Benjamin Tasker Sr. c. 1690 – June 19, 1768 was the 21st Proprietary Governor of Maryland from 1752 to 1753. He also occupied a number of other significant colonial offices, including, on various occasions, being elected Mayor of Annapolis.</t>
  </si>
  <si>
    <t>July 24, 1696</t>
  </si>
  <si>
    <t>Portsmouth, New Hampshire</t>
  </si>
  <si>
    <t>October 14, 1770</t>
  </si>
  <si>
    <t>Benning Wentworth July 24, 1696 – October 14, 1770 was an American merchant and colonial administrator who served as the governor of New Hampshire from 1741 to 1766.</t>
  </si>
  <si>
    <t>11 January 1721</t>
  </si>
  <si>
    <t>Middlesex County, Virginia</t>
  </si>
  <si>
    <t>9 April 1792</t>
  </si>
  <si>
    <t>Thornbury, England</t>
  </si>
  <si>
    <t>Beverley Robinson 11 January 1721 – 9 April 1792, was a Virginia-born soldier who became a wealthy colonist of the Province of New York and is best known as a Loyalist during the American Revolutionary War. Robinson married Susanna Philipse, heiress to a significant share of the roughly 250 square miles 650 km2 Highland Patent on the lower Hudson River in the Province of New York.</t>
  </si>
  <si>
    <t>7 February 1688</t>
  </si>
  <si>
    <t>28 September 1776</t>
  </si>
  <si>
    <t>Cadwallader Colden 7 February 1688 – 28 September 1776 was a physician, natural scientist, a lieutenant governor and acting Governor for the Province of New York.</t>
  </si>
  <si>
    <t>9 December 1616</t>
  </si>
  <si>
    <t>17 December 1695</t>
  </si>
  <si>
    <t>Caleb Carr 1616 - 17 December 1695 was a governor of the Colony of Rhode Island and Providence Plantations, serving a very short term prior to his death. In 1635, at the age of 19, he sailed from England on the ship Elizabeth and Ann with his older brother Robert.</t>
  </si>
  <si>
    <t>February 2, 1734</t>
  </si>
  <si>
    <t>Maryland</t>
  </si>
  <si>
    <t>Captain Charles Calvert 1688 – February 2, 1734 was the 14th Proprietary Governor of Maryland in 1720, at a time when the Calvert family had recently regained control of their proprietary colony.</t>
  </si>
  <si>
    <t>August 27, 1637</t>
  </si>
  <si>
    <t>Salisbury, England</t>
  </si>
  <si>
    <t>February 21, 1715</t>
  </si>
  <si>
    <t>St Pancras, London, England</t>
  </si>
  <si>
    <t>Charles Calvert, 3rd Baron Baltimore August 27, 1637 – February 21, 1715, inherited the colony of Maryland in 1675 upon the death of his father, Cecil Calvert, 2nd Baron Baltimore, 1605–1675.</t>
  </si>
  <si>
    <t>29 September 1699</t>
  </si>
  <si>
    <t>24 April 1751</t>
  </si>
  <si>
    <t>Charles Calvert, 5th Baron Baltimore, FRS 29 September 1699 – 24 April 1751 was a British nobleman and Proprietary Governor of the Province of Maryland.</t>
  </si>
  <si>
    <t>27 December 1754</t>
  </si>
  <si>
    <t>Berkshire, Great Britain</t>
  </si>
  <si>
    <t>Charles Craven 1682 – 27 December 1754 was the son of Sir William Craven and Margaret Clapham. He held the office of Governor of Carolina between 1711 and 1716.</t>
  </si>
  <si>
    <t>c. 1660</t>
  </si>
  <si>
    <t>c. 1723</t>
  </si>
  <si>
    <t>Charles Gookin c. 1660–c. 1723 was a deputy governor of colonial Pennsylvania.</t>
  </si>
  <si>
    <t>c. 1714</t>
  </si>
  <si>
    <t>18 May 1780</t>
  </si>
  <si>
    <t>Sir Charles Hardy c. 1714 – 18 May 1780 was a Royal Navy officer and politician who sat in the House of Commons between 1764 and 1780. He served as colonial governor of New York from 1755 to 1757.</t>
  </si>
  <si>
    <t>Hoorn, Netherlands</t>
  </si>
  <si>
    <t>c. 1600</t>
  </si>
  <si>
    <t>Cornelis Jacobsen Mey, often spelled Cornelius Jacobsz May in Dutch, was a Dutch explorer, captain, and fur trader. Cape May, New Jersey and Cape May County, New Jersey are both named after him.</t>
  </si>
  <si>
    <t>c.1640</t>
  </si>
  <si>
    <t>19 January 1730</t>
  </si>
  <si>
    <t>Daniel Coxe III c. 1640 – 19 January 1730 FRS was an English physician and governor of West Jersey from 1687 to 1688 and 1689 to 1692.</t>
  </si>
  <si>
    <t>6 December 1637</t>
  </si>
  <si>
    <t>24 February 1714</t>
  </si>
  <si>
    <t>Sir Edmund Andros 6 December 1637 – 24 February 1714 was an English colonial administrator in British America. He was the governor of the Dominion of New England during most of its three-year existence. At other times, Andros served as governor of the provinces of New York, East and West Jersey, Virginia, and Maryland.</t>
  </si>
  <si>
    <t>July 5, 1727</t>
  </si>
  <si>
    <t>Williamsburg, Virginia</t>
  </si>
  <si>
    <t>Edmund Jenings 1659-1727 was a British politician and lawyer who held important posts in the Colony of Virginia including as the attorney general, on the Governor's Council and as acting governor, but encountered controversy and experienced financial problems in his final years.</t>
  </si>
  <si>
    <t>January 1687</t>
  </si>
  <si>
    <t>Edward Byllynge was a British colonial administrator and governor of West New Jersey from 1680 to 1687, until his death in England. Byllynge owned a large section of land in New Jersey with the Quakers.</t>
  </si>
  <si>
    <t>Edward Cranfield fl. 1680–1696 was an English colonial administrator. Cranfield was governor of the Province of New Hampshire from 1682 to 1685, in an administration that was marked by hostility between Cranfield and the colonists.</t>
  </si>
  <si>
    <t>14 February 1620</t>
  </si>
  <si>
    <t>Chilham Castle, Kent County, England</t>
  </si>
  <si>
    <t>E.D. plantation, York County, Colony of Virginia</t>
  </si>
  <si>
    <t>Edward Digges 14 February 1620 – 15 March 1674/75 was an English barrister and colonist who became a premium tobacco planter and official in the Virginia colony.</t>
  </si>
  <si>
    <t>about 1584</t>
  </si>
  <si>
    <t>Wilmington, Kent, England</t>
  </si>
  <si>
    <t>after 1663</t>
  </si>
  <si>
    <t>Ludgate, London, England</t>
  </si>
  <si>
    <t>Edward Godfrey about 1584 – after 1663 was the first governor of the Province of Maine.</t>
  </si>
  <si>
    <t>Shrewsbury, Shropshire, England</t>
  </si>
  <si>
    <t>March 1657</t>
  </si>
  <si>
    <t>Edward Hopkins 1600 – March 1657 was an English colonist and politician and 2nd Governor of the Connecticut Colony. Active on both sides of the Atlantic, he was a founder of the New Haven and Connecticut colonies, serving seven one-year terms as Governor of Connecticut.</t>
  </si>
  <si>
    <t>28 November 1661</t>
  </si>
  <si>
    <t>31 March 1723</t>
  </si>
  <si>
    <t>Chelsea, London, England</t>
  </si>
  <si>
    <t>Edward Hyde, 3rd Earl of Clarendon 28 November 1661 – 31 March 1723, styled Viscount Cornbury between 1674 and 1709, was an English aristocrat and politician. Better known by his noble title Lord Cornbury, he was propelled into the forefront of English politics when he and part of his army defected from the Catholic King James II to support the newly arrived Protestant contender, William III of Orange. These actions were part of the beginning of the Glorious Revolution of 1688. Cornbury's choice to support his cousin Anne instead of William after the rebellion cost him his military commission. However, Cornbury's support of King William's reign eventually earned him the governorship of the provinces of New York and New Jersey; he served between 1701 and 1708.</t>
  </si>
  <si>
    <t>February 7, 1671</t>
  </si>
  <si>
    <t>Talbot County, Maryland, British America</t>
  </si>
  <si>
    <t>March 20, 1719</t>
  </si>
  <si>
    <t>Major General Edward Lloyd II February 7, 1671 – March 20, 1719 was the 11th Royal Governor of Maryland from 1709 to 1714.</t>
  </si>
  <si>
    <t>Stonely, Huntingdonshire, England</t>
  </si>
  <si>
    <t>Kimbolton, Cambridgeshire</t>
  </si>
  <si>
    <t>Edward Maria Wingfield, sometimes hyphenated as Edward-Maria Wingfield 1550 in Stonely Priory, near Kimbolton – 1631 was a soldier, Member of Parliament, 1593 and English colonist in America. He was the son of Thomas Maria Wingfield, and the grandson of Richard Wingfield.</t>
  </si>
  <si>
    <t>August 23, 1706</t>
  </si>
  <si>
    <t>Colonel Edward Nott 1657 – August 23, 1706 was an English Colonial Governor of Virginia. He was appointed by Queen Anne on either April 25, 1705 or August 15, 1705. His administration lasted only one year, as he died in 1706 at the age of 49. He is interred at Bruton Parish Church in Williamsburg, Virginia. He is noted as having been a "mild, benevolent man."</t>
  </si>
  <si>
    <t>Methley, West Yorkshire, England</t>
  </si>
  <si>
    <t>October 2, 1712</t>
  </si>
  <si>
    <t>Edward Shippen 1639, Methley, West Yorkshire, England – October 2, 1712, Philadelphia, Pennsylvania was the second mayor of Philadelphia, although under William Penn's charter of 1701, he was considered the first.</t>
  </si>
  <si>
    <t>18 October 1595</t>
  </si>
  <si>
    <t>Droitwich, Worcestershire, England</t>
  </si>
  <si>
    <t>8 May 1655</t>
  </si>
  <si>
    <t>Jamaica</t>
  </si>
  <si>
    <t>Edward Winslow 18 October 1595 – 8 May 1655 was a Separatist and New England political leader who traveled on the Mayflower in 1620.</t>
  </si>
  <si>
    <t>c. 1565-1568</t>
  </si>
  <si>
    <t>Clerkenwell, Middlesex, England</t>
  </si>
  <si>
    <t>24 May 1647</t>
  </si>
  <si>
    <t>Ashton Phillips, Somerset, England</t>
  </si>
  <si>
    <t>Sir Ferdinando Gorges c. 1565-1568 – 24 May 1647 was a naval and military commander and governor of the important port of Plymouth in England. He was involved in Essex's Rebellion against the Queen, but escaped punishment by testifying against the main conspirators. His early involvement in English trade with and settlement of North America as well as his efforts in founding the Province of Maine in 1622 earned him the title of the "Father of English Colonization in North America," even though Gorges himself never set foot in the New World.</t>
  </si>
  <si>
    <t>March 14, 1637</t>
  </si>
  <si>
    <t>Ipswich, Massachusetts</t>
  </si>
  <si>
    <t>November 27, 1707</t>
  </si>
  <si>
    <t>Fitz-John Winthrop March 14, 1637 – November 27, 1707, was the governor of the Colony of Connecticut from 1698 until his death on November 27, 1707.</t>
  </si>
  <si>
    <t>3 March 1768</t>
  </si>
  <si>
    <t>Virginia, U.S.</t>
  </si>
  <si>
    <t>Francis Fauquier 1703 – 3 March 1768 was a lieutenant governor of Virginia Colony in what is today the United States, and served as acting governor from 1758 until his death in 1768.</t>
  </si>
  <si>
    <t>17 September 1643</t>
  </si>
  <si>
    <t>30 March 1694</t>
  </si>
  <si>
    <t>Francis Howard, 5th Baron Howard of Effingham c. 1643 – 30 March 1694 O.S./95 N.S. was a member of the Howard family, descended from noted naval commander Lord High Admiral Howard, and a Crown Governor of Virginia 1683-1692.</t>
  </si>
  <si>
    <t>circa 1621</t>
  </si>
  <si>
    <t>Kent, England</t>
  </si>
  <si>
    <t>Francis Lovelace c. 1621–1675 was an English Royalist and the second Governor of New York colony.</t>
  </si>
  <si>
    <t>before 1628</t>
  </si>
  <si>
    <t>Francis Moryson bef. 1628–1680/81 was an English soldier who became a Virginia colonial official and agent. A Royalist in the English Civil War, he emigrated to the Virginia Colony, where he held several posts before returning to England and becoming the colony's agent, and finally briefly served on the commission investigating Bacon's Rebellion.</t>
  </si>
  <si>
    <t>18 November 1660</t>
  </si>
  <si>
    <t>New Haven Colony, Connecticut</t>
  </si>
  <si>
    <t>Francis Newman circa 1605 – 18 November 1660 was an English colonist in America. He served as Governor of the New Haven Colony from 1658 to 1659.</t>
  </si>
  <si>
    <t>12 November 1655</t>
  </si>
  <si>
    <t>Downholme, Yorkshire, England</t>
  </si>
  <si>
    <t>16 March 1727</t>
  </si>
  <si>
    <t>Lieutenant-General Francis Nicholson 12 November 1655 – 16 March, 1728 was a British Army general and colonial official who served as the governor of South Carolina from 1721 to 1725. He previously was the Governor of Nova Scotia from 1712 to 1715, the Governor of Virginia from 1698 to 1705, the Governor of Maryland from 1694 to 1698, the Lieutenant Governor of Virginia from 1690 to 1692, and the Lieutenant Governor of the Dominion of New England from 1688 to 1689.</t>
  </si>
  <si>
    <t>28 October 1586</t>
  </si>
  <si>
    <t>Salisbury, Wiltshire, England</t>
  </si>
  <si>
    <t>February 1633/1634</t>
  </si>
  <si>
    <t>Francis West 28 October 1586 – February 1633/1634 was a Deputy Governor of the Colony and Dominion of Virginia.</t>
  </si>
  <si>
    <t>Sir Francis Wyatt 1588–1644 was an English nobleman, knight, politician, and government official. He was the first English royal governor of Virginia. He sailed for America on 1 August 1621 on board the George. He became governor shortly after his arrival in October, taking with him the first written constitution for an English colony. Also sailing with him on this voyage was his second cousin Henry Fleete Sr., who helped found colonies in both Virginia and Maryland. In 1622 he rallied the defence of Jamestown which was attacked by Native Americans, during which the lives of some 400 settlers were lost and he then oversaw the contraction of the colony from scattered outposts into a defensive core.</t>
  </si>
  <si>
    <t>George Burdett c. 1602–1671 was the second colonial governor of the Upper Plantation of New Hampshire, later to become the Province of New Hampshire, between 1637 and 1640. He returned to England and was a chaplain to Parliamentary regiments during the English Civil War. After the Restoration he served as a minister in Ireland.</t>
  </si>
  <si>
    <t>12 January 1760</t>
  </si>
  <si>
    <t>George Clarke 1676 – 12 January 1760 was a colonial governor of New York.</t>
  </si>
  <si>
    <t>c. 1586</t>
  </si>
  <si>
    <t>after November 1666</t>
  </si>
  <si>
    <t>George Cleeve c. 1586–after November 1666 was an early settler and founder of today's Portland, Maine. He was Deputy President of the Province of Lygonia from 1643 until the final submission of its Maine towns to Massachusetts authority in 1658.</t>
  </si>
  <si>
    <t>c. 1686</t>
  </si>
  <si>
    <t>Stourton Parva, Lincolnshire</t>
  </si>
  <si>
    <t>10 July 1761</t>
  </si>
  <si>
    <t>Admiral of the Fleet The Hon. George Clinton c. 1686 – 10 July 1761 was a Royal Navy officer and politician. Benefiting from the patronage of Thomas Pelham-Holles, 1st Duke of Newcastle, he served as a naval captain during the 1720s and 1730s.</t>
  </si>
  <si>
    <t>George Fenwick 1603?–1657, was an English Parliamentarian, and a leading colonist in the short-lived Saybrook Colony.</t>
  </si>
  <si>
    <t>9 February 1666</t>
  </si>
  <si>
    <t>Hamilton Palace, South Lanarkshire</t>
  </si>
  <si>
    <t>29 January 1737</t>
  </si>
  <si>
    <t>Field Marshal George Hamilton, 1st Earl of Orkney, KT 9 February 1666 – 29 January 1737, styled Lord George Hamilton from 1666 to 1696, was a British soldier and Scottish nobleman and the first British Army officer to be promoted to the rank of field marshal</t>
  </si>
  <si>
    <t>4 September 1580</t>
  </si>
  <si>
    <t>The Honourable George Percy 4 September 1580 – 1632 was an English explorer, author, and early Colonial Governor of Virginia.</t>
  </si>
  <si>
    <t>Somerset</t>
  </si>
  <si>
    <t>George Popham 1550–1608 was a pioneering colonist from Maine, born in the southwestern regions of England. He was an associate of English colonist Sir Ferdinando Gorges in a colonization scheme for a part of Maine.</t>
  </si>
  <si>
    <t>October 25, 1608</t>
  </si>
  <si>
    <t>Linkenholt, Hampshire, England</t>
  </si>
  <si>
    <t>November 21, 1671</t>
  </si>
  <si>
    <t>Yorktown, Virginia,</t>
  </si>
  <si>
    <t>George Reade October 25, 1608 – November 21, 1671 was a prominent landowner, military officer, judge, and politician who served as a member of the House of Burgesses and as Acting Governor of Virginia Colony. He is the great-great-grandfather of the first President of the United States, George Washington.</t>
  </si>
  <si>
    <t>Fenny Compton, Warwickshire, England</t>
  </si>
  <si>
    <t>9 March 1644</t>
  </si>
  <si>
    <t>Hartford, Connecticut</t>
  </si>
  <si>
    <t>George Wyllys or Wyllis 1590 – 9 March 1645 served for a year 1642–1643 as one of the early governors of the Connecticut Colony.</t>
  </si>
  <si>
    <t>Southwark, Surrey</t>
  </si>
  <si>
    <t>November 13, 1627</t>
  </si>
  <si>
    <t>Sir George Yeardley 1587 – November 13, 1627 was a planter and colonial governor of the colony of Virginia. He was also among the first slaveowners in Colonial America. A survivor of the Virginia Company of London's ill-fated Third Supply Mission, whose flagship, the Sea Venture, was shipwrecked on Bermuda for ten months from 1609 to 1610, he is best remembered for presiding over the initial session of the first representative legislative body in Virginia in 1619</t>
  </si>
  <si>
    <t>August 1653</t>
  </si>
  <si>
    <t>New Netherland</t>
  </si>
  <si>
    <t>October 10, 1723</t>
  </si>
  <si>
    <t>Gerardus Willemse Beekman c. August 1653 – October 10, 1723 was a wealthy physician, land owner, and colonial governor of the Province of New York.</t>
  </si>
  <si>
    <t>October 20, 1693</t>
  </si>
  <si>
    <t>Tiverton, Rhode Island</t>
  </si>
  <si>
    <t>September 12, 1767</t>
  </si>
  <si>
    <t>Gideon Wanton October 20, 1693 – September 12, 1767 was a governor of the Colony of Rhode Island and Providence Plantations who served for two separate one-year terms. His father was Joseph Wanton, a shipbuilder in Tiverton, and his mother was Sarah Freeborn, the daughter of Gideon and Sarah Brownell Freeborn.</t>
  </si>
  <si>
    <t>Northamptonshire England</t>
  </si>
  <si>
    <t>April 23, 1700</t>
  </si>
  <si>
    <t>Providence, colonial Rhode Island</t>
  </si>
  <si>
    <t>Gregory Dexter 1610 – c. 1700 was a renowned printer of important and controversial books and pamphlets in London. In New England, he assumed various roles including serving as a consultant to printers, a Baptist minister, an owner of a limestone quarry, and a political figure elected as president of the combined towns of Providence and Warwick in colonial Rhode Island. He is best known as the printer of Roger Williams's book A Key into the Language of America in 1643, the first English translation of a Native American language.</t>
  </si>
  <si>
    <t>27 March 1666</t>
  </si>
  <si>
    <t>Haverhill, Massachusetts Bay Colony</t>
  </si>
  <si>
    <t>20 September 1724</t>
  </si>
  <si>
    <t>New London, Colony of Connecticut</t>
  </si>
  <si>
    <t>Gurdon Saltonstall 27 March 1666 – 20 September 1724 was governor of the Colony of Connecticut from 1708 to 1724. Born into a distinguished family, Saltonstall became an accomplished and eminent Connecticut pastor. A close associate of Governor Fitz-John Winthrop, Saltonstall was appointed the colony's governor after Winthrop's death in 1707, and then reelected to the office annually until his own death.</t>
  </si>
  <si>
    <t>15 March 1674</t>
  </si>
  <si>
    <t>1594</t>
  </si>
  <si>
    <t>1650</t>
  </si>
  <si>
    <t>1676</t>
  </si>
  <si>
    <t>1740</t>
  </si>
  <si>
    <t>1638</t>
  </si>
  <si>
    <t>1708</t>
  </si>
  <si>
    <t>1728</t>
  </si>
  <si>
    <t>1797</t>
  </si>
  <si>
    <t/>
  </si>
  <si>
    <t>1703</t>
  </si>
  <si>
    <t>1656</t>
  </si>
  <si>
    <t>1723</t>
  </si>
  <si>
    <t>1667</t>
  </si>
  <si>
    <t>1695</t>
  </si>
  <si>
    <t>1739</t>
  </si>
  <si>
    <t>1791</t>
  </si>
  <si>
    <t>1737</t>
  </si>
  <si>
    <t>1615</t>
  </si>
  <si>
    <t>1678</t>
  </si>
  <si>
    <t>1715</t>
  </si>
  <si>
    <t>1700</t>
  </si>
  <si>
    <t>1732</t>
  </si>
  <si>
    <t>1640</t>
  </si>
  <si>
    <t>1690</t>
  </si>
  <si>
    <t>1768</t>
  </si>
  <si>
    <t>1696</t>
  </si>
  <si>
    <t>1770</t>
  </si>
  <si>
    <t>1721</t>
  </si>
  <si>
    <t>1792</t>
  </si>
  <si>
    <t>1688</t>
  </si>
  <si>
    <t>1776</t>
  </si>
  <si>
    <t>1616</t>
  </si>
  <si>
    <t>1734</t>
  </si>
  <si>
    <t>1637</t>
  </si>
  <si>
    <t>1699</t>
  </si>
  <si>
    <t>1751</t>
  </si>
  <si>
    <t>1682</t>
  </si>
  <si>
    <t>1754</t>
  </si>
  <si>
    <t>1660</t>
  </si>
  <si>
    <t>1714</t>
  </si>
  <si>
    <t>1780</t>
  </si>
  <si>
    <t>1600</t>
  </si>
  <si>
    <t>1730</t>
  </si>
  <si>
    <t>1659</t>
  </si>
  <si>
    <t>1727</t>
  </si>
  <si>
    <t>1687</t>
  </si>
  <si>
    <t>1680</t>
  </si>
  <si>
    <t>1620</t>
  </si>
  <si>
    <t>1674</t>
  </si>
  <si>
    <t>1584</t>
  </si>
  <si>
    <t>1663</t>
  </si>
  <si>
    <t>1657</t>
  </si>
  <si>
    <t>1661</t>
  </si>
  <si>
    <t>1671</t>
  </si>
  <si>
    <t>1719</t>
  </si>
  <si>
    <t>1550</t>
  </si>
  <si>
    <t>1631</t>
  </si>
  <si>
    <t>1706</t>
  </si>
  <si>
    <t>1639</t>
  </si>
  <si>
    <t>1712</t>
  </si>
  <si>
    <t>1595</t>
  </si>
  <si>
    <t>1655</t>
  </si>
  <si>
    <t>1568</t>
  </si>
  <si>
    <t>1647</t>
  </si>
  <si>
    <t>1707</t>
  </si>
  <si>
    <t>1643</t>
  </si>
  <si>
    <t>1694</t>
  </si>
  <si>
    <t>1621</t>
  </si>
  <si>
    <t>1675</t>
  </si>
  <si>
    <t>1628</t>
  </si>
  <si>
    <t>1605</t>
  </si>
  <si>
    <t>1586</t>
  </si>
  <si>
    <t>1634</t>
  </si>
  <si>
    <t>1588</t>
  </si>
  <si>
    <t>1644</t>
  </si>
  <si>
    <t>1602</t>
  </si>
  <si>
    <t>1760</t>
  </si>
  <si>
    <t>1666</t>
  </si>
  <si>
    <t>1686</t>
  </si>
  <si>
    <t>1761</t>
  </si>
  <si>
    <t>1603</t>
  </si>
  <si>
    <t>1580</t>
  </si>
  <si>
    <t>1632</t>
  </si>
  <si>
    <t>1608</t>
  </si>
  <si>
    <t>1590</t>
  </si>
  <si>
    <t>1587</t>
  </si>
  <si>
    <t>1627</t>
  </si>
  <si>
    <t>1653</t>
  </si>
  <si>
    <t>1693</t>
  </si>
  <si>
    <t>1767</t>
  </si>
  <si>
    <t>1610</t>
  </si>
  <si>
    <t>1724</t>
  </si>
  <si>
    <t>14 April 1704</t>
  </si>
  <si>
    <t>Edenton, North Carolina</t>
  </si>
  <si>
    <t>Henderson Walker 1659-1704 was the Acting Deputy Governor of North Carolina from 1699 to 1704. He is better known for his contribution in the founding of the Church of England in the Albemarle Sound region.</t>
  </si>
  <si>
    <t>22 January 1693</t>
  </si>
  <si>
    <t>Henry Bull 1610–1694 was an early colonial Governor of Rhode Island, serving for two separate terms, one before and one after the tenure of Edmund Andros under the Dominion of New England</t>
  </si>
  <si>
    <t>1614 or 1615</t>
  </si>
  <si>
    <t>Wimpole Estate Cambridgeshire, England</t>
  </si>
  <si>
    <t>5 February 1683</t>
  </si>
  <si>
    <t>Rosegill, Virginia, U.S.</t>
  </si>
  <si>
    <t>August 29, 1721</t>
  </si>
  <si>
    <t>County Monaghan, Ireland</t>
  </si>
  <si>
    <t>January 21, 1806</t>
  </si>
  <si>
    <t>Henry Ellis August 29, 1721 – January 21, 1806 was an Irish explorer, author and slave trader who served as the governor of the colonies of Georgia and Nova Scotia.</t>
  </si>
  <si>
    <t>ca. 1683</t>
  </si>
  <si>
    <t>Henry Josselyn also spelled Jocelyn; died ca. 1683 was an early settler of northern New England. He was first retained by John Mason, the proprietor of the territory that later became New Hampshire, to administer his holdings. Arriving at the Piscataqua River in 1634, he administered Mason's settlement roughly including present-day Portsmouth and some nearby communities until Mason's death in 1635.</t>
  </si>
  <si>
    <t>March 6, 1724</t>
  </si>
  <si>
    <t>Charleston, Province of South Carolina</t>
  </si>
  <si>
    <t>December 8, 1792</t>
  </si>
  <si>
    <t>Henry Laurens March 6, 1724  – December 8, 1792 was an American Founding Father, merchant, slave trader, and rice planter from South Carolina who became a political leader during the Revolutionary War. A delegate to the Second Continental Congress, Laurens succeeded John Hancock as its president. He was a signatory to the Articles of Confederation and, as president, presided over its passage.</t>
  </si>
  <si>
    <t>c. 1690</t>
  </si>
  <si>
    <t>Savannah, Georgia</t>
  </si>
  <si>
    <t>c. 1777</t>
  </si>
  <si>
    <t>Isle of Hope, Georgia</t>
  </si>
  <si>
    <t>Henry Parker born near Savannah, Georgia, about 1690; died Isle of Hope, Georgia, about 1777 was secretary to the governor of Georgia 1750 until 1751. He was Colonial Governor of the state of Georgia from 1751 until 1752.</t>
  </si>
  <si>
    <t>July 23, 1691</t>
  </si>
  <si>
    <t>Henry Sloughter died July 23, 1691 was briefly colonial governor of New York in 1691. Sloughter was the governor who put down Leisler's Rebellion, which had installed Jacob Leisler as de facto governor in 1689. He died suddenly in July 1691. Lieutenant Governor Richard Ingoldesby, who had served against Leisler's rebels, took over after Sloughter's death until the arrival of Benjamin Fletcher.</t>
  </si>
  <si>
    <t>baptised 26 March 1613</t>
  </si>
  <si>
    <t>Debden, Essex, England</t>
  </si>
  <si>
    <t>14 June 1662</t>
  </si>
  <si>
    <t>Tower Hill, London</t>
  </si>
  <si>
    <t>Sir Henry Vane baptised 26 March 1613 – 14 June 1662, often referred to as Harry Vane and Henry Vane the Younger to distinguish him from his father, Henry Vane the Elder, was an English politician, statesman, and colonial governor. He was briefly present in North America, serving one term as the governor of the Massachusetts Bay Colony, and supported the creation of Roger Williams' Rhode Island Colony and Harvard College</t>
  </si>
  <si>
    <t>c. 1620 – 1625</t>
  </si>
  <si>
    <t>Kirkham, North Yorkshire, England</t>
  </si>
  <si>
    <t>17 December 1678</t>
  </si>
  <si>
    <t>Jamestown, Virginia Colony, British America</t>
  </si>
  <si>
    <t>Sir Herbert Jeffreys b. around 1620–1625 – d. 17 December 1678 was a British military officer and lieutenant governor of Virginia Colony who served as acting governor in the immediate aftermath of Bacon's Rebellion. Historians have described Jeffreys as a "chief troubleshooter" and as "the most active and expert guardsman in the political police function of the courtier army."</t>
  </si>
  <si>
    <t>Hull, Yorkshire, England</t>
  </si>
  <si>
    <t>November 9, 1790</t>
  </si>
  <si>
    <t>Hampstead, London, England</t>
  </si>
  <si>
    <t>Horatio Sharpe 1718 – November 9, 1790 was the 22nd proprietary governor of Maryland from 1753 to 1768 under the restored proprietary government of Maryland.</t>
  </si>
  <si>
    <t>22 July 1726</t>
  </si>
  <si>
    <t>Colonel Hugh Drysdale died 22 July 1726 was an American governor of colonial Virginia. He was educated at Kilkenny College and Trinity College Dublin. More officially, his title was Lieutenant Governor and Commander in Chief of the Colony and Dominion of Virginia. He served as governor from September 1722, until his death in July 1726.</t>
  </si>
  <si>
    <t>c. 1640</t>
  </si>
  <si>
    <t>Frankfurt am Main,</t>
  </si>
  <si>
    <t>May 16, 1691</t>
  </si>
  <si>
    <t>New York City, Province of New York, English America</t>
  </si>
  <si>
    <t>Jacob Leisler c. 1640 – May 16, 1691 was a German-born colonist who served as a politician in the Province of New York. He gained wealth in New Amsterdam later New York City in the fur trade and tobacco business. In what became known as Leisler's Rebellion following the English Revolution of 1688, he took control of the city, and ultimately the entire province, from appointees of deposed King James II, in the name of the Protestant accession of William III and Mary II.</t>
  </si>
  <si>
    <t>British colony of Jamaica</t>
  </si>
  <si>
    <t>James Marcus or Mark Prevost born Jacques-Marc Prevost; 1736 – 1781 was a British Army officer. After being commissioned in Europe, he commanded troops of the British Army in North America and the West Indies, including during the French and Indian War, the North American front of the Seven Years' War.</t>
  </si>
  <si>
    <t>18 April 1743</t>
  </si>
  <si>
    <t>James Blair 1656 – 18 April 1743 was a Scottish-born clergyman in the Church of England. He was also a missionary and an educator, best known as the founder of the College of William &amp; Mary in Williamsburg, Virginia.</t>
  </si>
  <si>
    <t>Barbados</t>
  </si>
  <si>
    <t>James Colleton d. c. 1706 was a governor of the English proprietary Province of Carolina from 1686 to 1690.</t>
  </si>
  <si>
    <t>November 27, 1703</t>
  </si>
  <si>
    <t>New York City</t>
  </si>
  <si>
    <t>July 30, 1760</t>
  </si>
  <si>
    <t>James De Lancey November 27, 1703 – July 30, 1760 served as chief justice, lieutenant governor, and acting colonial governor of the Province of New York.</t>
  </si>
  <si>
    <t>July 18, 1777</t>
  </si>
  <si>
    <t>James Glen 1701 – July 18, 1777 was a politician in the Province of South Carolina. He was appointed Royal Governor of South Carolina in 1738, but did not arrive in the province until December 17, 1743. He served as governor until June 1, 1756 and was succeeded by William Henry Lyttelton. On June 21, 1761, Glen returned to Europe and died in London. He is buried in St Michael's Parish Church, Linlithgow, Scotland.</t>
  </si>
  <si>
    <t>August 14, 1783</t>
  </si>
  <si>
    <t>New York City, NY, British America</t>
  </si>
  <si>
    <t>James Hamilton 1710 – August 14, 1783, son of the well-known American lawyer Andrew Hamilton, was a prominent lawyer and governmental figure in colonial Philadelphia and Pennsylvania. He served as Deputy Governor of the Province from 1748 to 1754, and again from 1759 to 1763.</t>
  </si>
  <si>
    <t>October 20, 1674</t>
  </si>
  <si>
    <t>Lurgan, County Armagh, Ireland</t>
  </si>
  <si>
    <t>October 31, 1751</t>
  </si>
  <si>
    <t>Philadelphia, Pennsylvania, British America</t>
  </si>
  <si>
    <t>James Logan October 20, 1674 – October 31, 1751 was a Scots-Irish colonial American statesman, administrator, and scholar who served as the fourteenth mayor of Philadelphia and held a number of other public offices.</t>
  </si>
  <si>
    <t>c. 1682</t>
  </si>
  <si>
    <t>March 3, 1724</t>
  </si>
  <si>
    <t>James Moore Jr. was c. 1682–March 3, 1724 was the governor of South Carolina from 1719 to 1721.</t>
  </si>
  <si>
    <t>c. 1650</t>
  </si>
  <si>
    <t>James Moore Sr. c. 1650 – 1706 was a senior officer of militia who served as the governor of Carolina from 1700 to 1703. He is best known for leading several invasions of Spanish Florida during Queen Anne's War, including attacks in 1704 and 1706 which wiped out most of the Spanish missions in Florida. He captured and brought back to Carolina as slaves thousands of Apalachee Indians.</t>
  </si>
  <si>
    <t>22 December 1696</t>
  </si>
  <si>
    <t>Godalming, Surrey, England</t>
  </si>
  <si>
    <t>30 June 1785</t>
  </si>
  <si>
    <t>Cranham, Essex, England</t>
  </si>
  <si>
    <t>James Edward Oglethorpe 22 December 1696 – 30 June 1785 was a British soldier, Member of Parliament, and philanthropist, as well as the founder of the colony of Georgia in what was then British America. As a social reformer, he hoped to resettle Britain's "worthy poor" in the New World, initially focusing on those in debtors' prisons.</t>
  </si>
  <si>
    <t>Fife, Scotland</t>
  </si>
  <si>
    <t>4 March 1788</t>
  </si>
  <si>
    <t>James Robertson 1717 – 4 March 1788 was a British general and colonial official who served as the 40th Governor of New York from 1779 to 1783. He was a stage actor in his early adulthood.</t>
  </si>
  <si>
    <t>8 May 1716</t>
  </si>
  <si>
    <t>20 November 1785</t>
  </si>
  <si>
    <t>James Wright 8 May 1716 – 20 November 1785 was a colonial lawyer and jurist who was the last British Royal Governor of the Province of Georgia. He was the only Royal Governor of the Thirteen Colonies to regain control of his colony during the American Revolutionary War.</t>
  </si>
  <si>
    <t>Field Marshal Jeffery Amherst, 1st Baron Amherst, KB 29 January 1717 – 3 August 1797 was a British Army officer and Commander-in-Chief of the Forces in the British Army. Amherst is credited as the architect of Britain's successful campaign to conquer the territory of New France during the Seven Years' War. Under his command, British forces captured the cities of Louisbourg, Quebec City and Montreal, as well as several major fortresses. He was also the first British Governor General in the territories that eventually became Canada. Numerous places and streets are named for him, in both Canada and the United States.</t>
  </si>
  <si>
    <t>Jeremiah Basse died 1725 was a governor of both West Jersey and East Jersey. He became governor of West Jersey in 1697, and became governor of East Jersey in 1697.</t>
  </si>
  <si>
    <t>baptized 1 December 1605</t>
  </si>
  <si>
    <t>East Farleigh, Kent, England</t>
  </si>
  <si>
    <t>January 1652</t>
  </si>
  <si>
    <t>Jeremy Clarke also known as Jeremiah Clarke 1605–1652 was an early colonial settler and President of the Colony of Rhode Island and Providence Plantations.</t>
  </si>
  <si>
    <t>Jesse Wharton died 1676 was the 7th Proprietary Governor of Maryland during a brief period in 1676. He was appointed by the royally chartered proprietor of Maryland, Charles Calvert, 3rd Baron Baltimore. Following his death, Wharton was briefly succeeded by Cecil Calvert, infant son of Charles Calvert, before the next Governor, Thomas Notley, was appointed.</t>
  </si>
  <si>
    <t>July 20, 1592</t>
  </si>
  <si>
    <t>Johan Björnsson Printz July 20, 1592 – May 3, 1663 was governor from 1643 until 1653 of the Swedish colony of New Sweden on the Delaware River in North America.</t>
  </si>
  <si>
    <t>March 23, 1667</t>
  </si>
  <si>
    <t>Johan Papegoja died March 23, 1667 was a Swedish nobleman, soldier, and the fifth governor of the Swedish Colony of New Sweden.</t>
  </si>
  <si>
    <t>Finspång</t>
  </si>
  <si>
    <t>Johan Classon Risingh 1617 in Risinge – 1672 was the last governor of the Swedish colony of New Sweden.</t>
  </si>
  <si>
    <t>New Sweden.</t>
  </si>
  <si>
    <t>c1665</t>
  </si>
  <si>
    <t>Fortrose, Scotland</t>
  </si>
  <si>
    <t>March 28, 1736</t>
  </si>
  <si>
    <t>John Anderson 1665 – March 28, 1736 was a Scottish colonel who served as acting governor of New Jersey in 1736.</t>
  </si>
  <si>
    <t>John Archdale 5 March 1642 – 4 July 1717 served as British colonial Governor of North Carolina and Governor of South Carolina in 1695 and 1696. He may have also been appointed to serve circa 1683-1686. Archdale was appointed to the position by the Lords Proprietors of Carolina.</t>
  </si>
  <si>
    <t>c. 1619</t>
  </si>
  <si>
    <t>c. 1712</t>
  </si>
  <si>
    <t>Province of New Jersey</t>
  </si>
  <si>
    <t>John Berry c. 1619 – c. 1712 was an English colonist who migrated from Barbados to become an early major landowner, militia officer and Deputy Governor under the Lords Proprietor of the Proprietary Colony of New Jersey.</t>
  </si>
  <si>
    <t>c. 1687</t>
  </si>
  <si>
    <t>November 5, 1771</t>
  </si>
  <si>
    <t>John Blair c. 1687 – November 5, 1771 was a merchant and politician of the colony of Virginia. He served in both houses of the Virginia General Assembly.</t>
  </si>
  <si>
    <t>5 May 1705</t>
  </si>
  <si>
    <t>27 April 1782</t>
  </si>
  <si>
    <t>General John Campbell, 4th Earl of Loudoun 5 May 1705 – 27 April 1782 was a Scottish nobleman and British army officer.</t>
  </si>
  <si>
    <t>before 1584</t>
  </si>
  <si>
    <t>April 1621</t>
  </si>
  <si>
    <t>Plymouth Colony</t>
  </si>
  <si>
    <t>John Carver before 1584–1621 was one of the Pilgrims who braved the Mayflower voyage in 1620 which resulted in the creation of Plymouth Colony in America. He is credited with writing the Mayflower Compact and was its first signer, and he was also the first governor of Plymouth Colony.</t>
  </si>
  <si>
    <t>2 December 1599</t>
  </si>
  <si>
    <t>Halstead, Essex, England</t>
  </si>
  <si>
    <t>27 November 1647</t>
  </si>
  <si>
    <t>John Coggeshall Sr. 2 December 1599 – 27 November 1647 was one of the founders of the Colony of Rhode Island and Providence Plantations and the first President of all four towns in the Colony.</t>
  </si>
  <si>
    <t>c. 1648</t>
  </si>
  <si>
    <t>Penryn, Cornwall, Kingdom of England</t>
  </si>
  <si>
    <t>February or March 1709</t>
  </si>
  <si>
    <t>John Coode c. 1648 in Cornwall – February or March 1709 is best known for leading a rebellion that overthrew Maryland's colonial government in 1689. He participated in four separate uprisings and briefly served as Maryland's governor 1689–1691 as the 1st Leader of the Protestant Associators.</t>
  </si>
  <si>
    <t>12 March 1680</t>
  </si>
  <si>
    <t>John Cranston 1625–1680 was a colonial physician, military leader, legislator, deputy governor and governor of the Colony of Rhode Island and Providence Plantations during the 17th century.</t>
  </si>
  <si>
    <t>Wales</t>
  </si>
  <si>
    <t>April 5, 1681</t>
  </si>
  <si>
    <t>first</t>
  </si>
  <si>
    <t>baptized 19 December 1624</t>
  </si>
  <si>
    <t>Romsey, Hampshire, England</t>
  </si>
  <si>
    <t>12 December 1705</t>
  </si>
  <si>
    <t>John Easton 1624–1705 was a political leader in the Colony of Rhode Island and Providence Plantations, devoting decades to public service before eventually becoming governor of the colony</t>
  </si>
  <si>
    <t>before 1600</t>
  </si>
  <si>
    <t>15 March 1664</t>
  </si>
  <si>
    <t>Boston, Massachusetts Bay Colony</t>
  </si>
  <si>
    <t>John Endecott also spelled Endicott; before 1600 – 15 March 1664/1665, regarded as one of the Fathers of New England, was the longest-serving governor of the Massachusetts Bay Colony, which became the Commonwealth of Massachusetts.</t>
  </si>
  <si>
    <t>about 1678</t>
  </si>
  <si>
    <t>John Evans born about 1678 was a colonial governor of Pennsylvania, 3 February 1704 through 1 February 1709.</t>
  </si>
  <si>
    <t>c. 1681</t>
  </si>
  <si>
    <t>John Hamilton c. 1681–1747 was an American politician from the colonial period who served as acting governor of the Province of New Jersey from 1736–1738, and from 1746–1747.</t>
  </si>
  <si>
    <t>John Hart fl. 1710s–1720s served as the 12th Royal Governor of Maryland from 1714–1715 and continued as the 12th Proprietary Governor of Maryland from 1715–1720, after the restoration of proprietary control to Charles Calvert, 5th Baron Baltimore. His governorship marked the beginnings of the restoration of the Calvert family's control of Maryland.</t>
  </si>
  <si>
    <t>land</t>
  </si>
  <si>
    <t>Albemarle County modern Perquimans County, North Carolina</t>
  </si>
  <si>
    <t>John Harvey died 1679 was the governor of Albemarle Sound, in The Carolinas, in 1679.</t>
  </si>
  <si>
    <t>Sir John Harvey died 1646 was a Crown Governor of Virginia. He was appointed to the position on 26 March 1628 by Charles I of England. In 1635 he was suspended and impeached by the Council of Virginia who named John West as a temporary replacement, and he returned to England. He claimed a conspiracy to change the charter of the colony by John Wolstenholme was the reason for the failures of his administration.</t>
  </si>
  <si>
    <t>May 1, 1594</t>
  </si>
  <si>
    <t>Essex, England</t>
  </si>
  <si>
    <t>c. January 9, 1653</t>
  </si>
  <si>
    <t>John Haynes May 1, 1594 – c. January 9, 1653/4, also sometimes spelled Haines, was a colonial magistrate and one of the founders of the Connecticut Colony. He served one term as governor of the Massachusetts Bay Colony and was the first governor of Connecticut, ultimately serving eight separate terms.</t>
  </si>
  <si>
    <t>17 December 1681</t>
  </si>
  <si>
    <t>John Jenkins was an English soldier and radical advocate for self-government. He served as governor of Albemarle now North Carolina four times: 1672-1675;1676-1677;1678-1679;1680-1681, becoming the only person who has served as proprietary governor so many times.</t>
  </si>
  <si>
    <t>baptized 7 July 1616</t>
  </si>
  <si>
    <t>Boston, Lincolnshire, England</t>
  </si>
  <si>
    <t>16 March 1679</t>
  </si>
  <si>
    <t>Massachusetts Bay Colony</t>
  </si>
  <si>
    <t>John Leverett baptized 7 July 1616 – 16 March 1678/79 was an English colonial magistrate, merchant, soldier and the penultimate governor of the Massachusetts Bay Colony. Born in England, he migrated to Massachusetts as a teenager. He was a leading merchant in the colony, and served in its military. In the 1640s he went back to England to fight in the English Civil War.</t>
  </si>
  <si>
    <t>6 May 1709</t>
  </si>
  <si>
    <t>John Lovelace, 4th Baron Lovelace 1672—1709 was the Governor of both New York and New Jersey.</t>
  </si>
  <si>
    <t>1 July 1731</t>
  </si>
  <si>
    <t>Colonel John Montgomerie died 1731 was colonial governor of New York and New Jersey from 1728 to 1731.</t>
  </si>
  <si>
    <t>Taymouth, Fearnan, Scotland, Great Britain</t>
  </si>
  <si>
    <t>25 February 1809</t>
  </si>
  <si>
    <t>Ramsgate, Kent, England, United Kingdom</t>
  </si>
  <si>
    <t>John Murray, 4th Earl of Dunmore PC 1730 – 25 February 1809 was a British peer, military officer and colonial administrator in the Thirteen Colonies and The Bahamas. He was the last royal governor of Virginia.</t>
  </si>
  <si>
    <t>John Nanfan 1634–1716 was a Lieutenant Governor of the Province of New York from 1698 to 1702. He served as acting governor for about a year between the death of the Earl of Bellomont and the arrival of Bellomont's successor, Lord Cornbury. During the Glorious Revolution in 1688 he served as a captain in William of Orange's invasion army with Bellomont, who was his uncle by marriage.</t>
  </si>
  <si>
    <t>January 28, 1700</t>
  </si>
  <si>
    <t>October 25, 1746</t>
  </si>
  <si>
    <t>Hitcham, Buckinghamshire, England</t>
  </si>
  <si>
    <t>John Penn January 28, 1700 – October 25, 1746 was an American-born merchant who was proprietor of the colonial Province of Pennsylvania,</t>
  </si>
  <si>
    <t>14 July 1729</t>
  </si>
  <si>
    <t>9 February 1795</t>
  </si>
  <si>
    <t>Pennsylvania, United States</t>
  </si>
  <si>
    <t>John Penn 14 July 1729 – 9 February 1795 was an English-born colonial administrator who served as the last governor of colonial Pennsylvania, serving in that office from 1763 to 1771 and from 1773 to 1776</t>
  </si>
  <si>
    <t>22 February 1760</t>
  </si>
  <si>
    <t>21 June 1834</t>
  </si>
  <si>
    <t>Stoke Poges, England</t>
  </si>
  <si>
    <t>John Penn 22 February 1760 – 21 June 1834 was an English politician and writer who was the chief proprietor of the Province of Pennsylvania from 1775 to 1776. He and his cousin, John Penn "John Penn, the Governor" held unsold property, of 24,000,000 acres 97,000 km2, which the Pennsylvania legislature confiscated after the American Revolution.</t>
  </si>
  <si>
    <t>after March 25, 1651</t>
  </si>
  <si>
    <t>John Potts or Pott was a physician and Colonial Governor of Virginia at the Jamestown settlement in the Virginia Colony in the early 17th century.</t>
  </si>
  <si>
    <t>1549 </t>
  </si>
  <si>
    <t>549 </t>
  </si>
  <si>
    <t>December 1609</t>
  </si>
  <si>
    <t>Lancashire.</t>
  </si>
  <si>
    <t>John Ratcliffe born John Sicklemore; 1549 – December 1609 was an early Jamestown colonist, mariner and captain of Discovery, the smallest of three ships the other two being Susan Constant and Godspeed that sailed from the Kingdom of England on 19 December 1606, to English-claimed Virginia to found a colony, arriving 26 April 1607. He later became the second president of the colony of Jamestown. He was killed by the Pamunkey Native Americans in late 1609.</t>
  </si>
  <si>
    <t>6 June 1686</t>
  </si>
  <si>
    <t>Gloucester, New Jersey</t>
  </si>
  <si>
    <t>5 November 1767</t>
  </si>
  <si>
    <t>John Reading 6 June 1686 – 5 November 1767 was the first native-born governor of the British Province of New Jersey, serving in 1747, and again from September 1757 to June 1758. His father, Colonel John Reading, was the first major landowner in Hunterdon County.</t>
  </si>
  <si>
    <t>3 February 1788</t>
  </si>
  <si>
    <t>John Reynolds c. 1713 – 3 February 1788 was an officer of the Royal Navy. He served for a period as the royal governor of the Province of Georgia from 1754 to 1757. At the end of a long life of service, he became admiral shortly before his death.</t>
  </si>
  <si>
    <t>circa 1683</t>
  </si>
  <si>
    <t>Middlesex County, Colony of Virginia, British America</t>
  </si>
  <si>
    <t>August 24, 1749</t>
  </si>
  <si>
    <t>Yorktown, Colony of Virginia, British America</t>
  </si>
  <si>
    <t>John Robinson 1683 - August 24, 1749 was an American planter and politician in the colony of Virginia.</t>
  </si>
  <si>
    <t>February 3, 1705</t>
  </si>
  <si>
    <t>May 11, 1766</t>
  </si>
  <si>
    <t>John Robinson, Jr. February 3, 1705 – May 11, 1766 was an American politician and landowner in the colony of Virginia. Robinson served as Speaker of the House of Burgesses from 1738 until his death, the longest tenure in the history of that office.</t>
  </si>
  <si>
    <t>c. 1605</t>
  </si>
  <si>
    <t>Portsmouth, Rhode Island</t>
  </si>
  <si>
    <t>John Sanford c. 1605 – 1653 was an early settler of Boston, Massachusetts, an original settler of Portsmouth, Rhode Island, and a governor of the combined towns of Portsmouth and Newport in the Rhode Island colony, dying in office after serving for less than a full term.</t>
  </si>
  <si>
    <t>Gloucestershire, England</t>
  </si>
  <si>
    <t>July 30, 1709</t>
  </si>
  <si>
    <t>Anne Arundel County, Maryland, British America</t>
  </si>
  <si>
    <t>Colonel John Seymour 1649 – July 30, 1709 was the 10th Royal Governor of Maryland from 1704 to 1709.</t>
  </si>
  <si>
    <t>1579–1580</t>
  </si>
  <si>
    <t>Lincolnshire, England</t>
  </si>
  <si>
    <t>21 June 1631</t>
  </si>
  <si>
    <t>John Smith baptized 6 January 1580 – 21 June 1631 was an English soldier, explorer, colonial governor, admiral of New England, and author. He played an important role in the establishment of the colony at Jamestown, Virginia, the first permanent English settlement in North America, in the early 17th century.</t>
  </si>
  <si>
    <t>July 1663</t>
  </si>
  <si>
    <t>John Smith died 1663 was an early colonial settler and President of the Colony of Rhode Island and Providence Plantations.</t>
  </si>
  <si>
    <t>December 24, 1672</t>
  </si>
  <si>
    <t>Scituate, Massachusetts</t>
  </si>
  <si>
    <t>July 5, 1740</t>
  </si>
  <si>
    <t>John Wanton December 24, 1672 – July 5, 1740 was a governor of the Colony of Rhode Island and Providence Plantations, serving for six consecutive terms from 1734 to 1740</t>
  </si>
  <si>
    <t>bef. August 16, 1590</t>
  </si>
  <si>
    <t>Cossington, Leicestershire, England</t>
  </si>
  <si>
    <t>April 5, 1661</t>
  </si>
  <si>
    <t>Hadley, Massachusetts Bay Colony</t>
  </si>
  <si>
    <t>John Webster bef August 16, 1590 – April 5, 1661 was an early colonial settler of New England, serving one term as governor of the Colony of Connecticut in 1656.</t>
  </si>
  <si>
    <t>9 August 1737</t>
  </si>
  <si>
    <t>Halifax, Nova Scotia</t>
  </si>
  <si>
    <t>Sir John Wentworth, 1st Baronet 9 August 1737 – 8 April 1820 was the British colonial governor of New Hampshire at the time of the American Revolution. He was later also Lieutenant-Governor of Nova Scotia. He is buried in the crypt of St. Paul's Church in Halifax.</t>
  </si>
  <si>
    <t>December 14, 1590</t>
  </si>
  <si>
    <t>Testwood, Hampshire, England</t>
  </si>
  <si>
    <t>c. 1659</t>
  </si>
  <si>
    <t>John West December 14, 1590 – c. 1659 was an early member of the Virginia General Assembly and acting colonial Governor of Virginia from 1635 to 1637, the third West brother to serve as Governor and one of the founders of the West Family of Virginia, which would include many politicians.</t>
  </si>
  <si>
    <t>4 April 1693</t>
  </si>
  <si>
    <t>16 March 1766</t>
  </si>
  <si>
    <t>Lieutenant-General John West, 1st Earl De La Warr KB PC FRS 4 April 1693 – 16 March 1766, styled The Honourable John West until 1723 and known as The Lord De La Warr between 1723 and 1761, was a British soldier, courtier and politician who sat in the House of Commons from 1715 to 1722.</t>
  </si>
  <si>
    <t>c. 1539</t>
  </si>
  <si>
    <t>John White c. 1539 – c. 1593 was an English colonial governor, explorer, artist, and cartographer. White was among those who sailed with Richard Grenville in the first attempt to colonize Roanoke Island in 1585, acting as artist and mapmaker to the expedition. He would most famously briefly serve as the governor of the second attempt to found Roanoke Colony on the same island in 1587 and discover the colonists had mysteriously vanished.</t>
  </si>
  <si>
    <t>12 January 1587</t>
  </si>
  <si>
    <t>Edwardstone, Suffolk, England</t>
  </si>
  <si>
    <t>March 26, 1649</t>
  </si>
  <si>
    <t>John Winthrop January 12, 1587/88 – March 26, 1649 was an English Puritan lawyer and one of the leading figures in founding the Massachusetts Bay Colony, the second major settlement in New England following Plymouth Colony. Winthrop led the first large wave of colonists from England in 1630 and served as governor for 12 of the colony's first 20 years</t>
  </si>
  <si>
    <t>February 12, 1606</t>
  </si>
  <si>
    <t>Groton, England</t>
  </si>
  <si>
    <t>April 6, 1676</t>
  </si>
  <si>
    <t>John Winthrop the Younger February 12, 1606 – April 6, 1676 was an early governor of the Connecticut Colony, and he played a large role in the merger of several separate settlements into the unified colony.</t>
  </si>
  <si>
    <t>28 February 1611</t>
  </si>
  <si>
    <t>Bristol, England</t>
  </si>
  <si>
    <t>August 1674</t>
  </si>
  <si>
    <t>Carolina, English America</t>
  </si>
  <si>
    <t>Sir John Yeamans, 1st Baronet bapt. 28 February 1611 – 1674 was an English colonial administrator and planter who served as Governor of Carolina from 1672 to 1674. Contemporary descriptions of Yeamans described him as "a pirate ashore."</t>
  </si>
  <si>
    <t>8 January 1682</t>
  </si>
  <si>
    <t>Cambridge, Massachusetts</t>
  </si>
  <si>
    <t>31 August 1757</t>
  </si>
  <si>
    <t>Elizabethtown, New Jersey</t>
  </si>
  <si>
    <t>Jonathan Belcher 8 January 1681/82 – 31 August 1757 was a merchant, politician, and slave trader from colonial Massachusetts who served as both governor of Massachusetts Bay and governor of New Hampshire from 1730 to 1741 and governor of New Jersey from 1747 to 1757.</t>
  </si>
  <si>
    <t>August 6, 1674</t>
  </si>
  <si>
    <t>Milford, Connecticut</t>
  </si>
  <si>
    <t>Jonathan Law August 6, 1674 – November 6, 1750 was the 27th Governor of the Colony of Connecticut, serving in that office from 1741 to 1750.</t>
  </si>
  <si>
    <t>October 12, 1710</t>
  </si>
  <si>
    <t>Lebanon, Connecticut Colony, British America</t>
  </si>
  <si>
    <t>August 17, 1785</t>
  </si>
  <si>
    <t>Jonathan Trumbull Sr. October 12, 1710 – August 17, 1785 was an American politician and statesman who served as Governor of Connecticut during the American Revolution. Trumbull and Nicholas Cooke of Rhode Island were the only men to serve as governor of both a British colony and an American state, and he was the only governor to take up the Patriot cause at the start of the Revolutionary War. Trumbull College at Yale University, the town of Trumbull, Connecticut, Trumbull County, Ohio originally part of the Connecticut Western Reserve, and Jonathan the Husky are all named for him.</t>
  </si>
  <si>
    <t>7 September 1700</t>
  </si>
  <si>
    <t>Joseph Blake died 1700, the nephew of British General at Sea Robert Blake, served as the governor of Carolina in 1694 and from 1696 to his death 1700.</t>
  </si>
  <si>
    <t>September 23, 1647</t>
  </si>
  <si>
    <t>Roxbury, Massachusetts Bay Colony</t>
  </si>
  <si>
    <t>2 April 1720</t>
  </si>
  <si>
    <t>Joseph Dudley September 23, 1647 – April 2, 1720 was a colonial administrator, a native of Roxbury in Massachusetts Bay Colony, and the son of one of its founders. He had a leading role in the administration of the Dominion of New England 1686–1689 which was overthrown in the 1689 Boston revolt. He served briefly on the council of the Province of New York where he oversaw the trial which convicted Jacob Leisler, the ringleader of Leisler's Rebellion.</t>
  </si>
  <si>
    <t>15 June 1740</t>
  </si>
  <si>
    <t>Joseph Jenckes 1656 – 15 June 1740 was a deputy governor and governor of the Colony of Rhode Island and Providence Plantations.</t>
  </si>
  <si>
    <t>September 1721</t>
  </si>
  <si>
    <t>Joseph Morton died September 1721 was an early colonist and governor of the Province of Carolina. Although he was not one of Carolina's Lords Proprietors, Morton was influential in the recruitment of religious dissenters to migrate to the new colony</t>
  </si>
  <si>
    <t>November 16, 1669</t>
  </si>
  <si>
    <t>October 11, 1741</t>
  </si>
  <si>
    <t>Joseph Talcott November 16, 1669 – October 11, 1741 was the 26th governor of the Connecticut Colony from 1724 until his death in 1741.</t>
  </si>
  <si>
    <t>15 August 1705</t>
  </si>
  <si>
    <t>19 July 1780</t>
  </si>
  <si>
    <t>Joseph Wanton Sr. 15 August 1705 – 19 July 1780 was a merchant and governor in the Colony of Rhode Island and Providence Plantations from 1769 to 1775. Not wanting to go to war with Britain, he has been branded as a Loyalist, but he remained neutral during the war, and he and his property were not disturbed.</t>
  </si>
  <si>
    <t>Ashley River South Carolina?</t>
  </si>
  <si>
    <t>Joseph West born ? died 1691, was an English ship captain, and an early Colonial governor of South Carolina.</t>
  </si>
  <si>
    <t>Josiah Hardy 1715–1790 was a British merchant and colonial administrator who served as colonial Governor of New Jersey between 1761 and 1763. He was succeeded in the post by William Franklin, the son of Benjamin Franklin. Hardy was later appointed as consul at Cádiz.</t>
  </si>
  <si>
    <t>December 18, 1680</t>
  </si>
  <si>
    <t>Marshfield, Plymouth Colony</t>
  </si>
  <si>
    <t>Josiah Winslow c. 1623 in Plymouth Colony – 1680 in Marshfield, Plymouth Colony was the 13th Governor of Plymouth Colony.</t>
  </si>
  <si>
    <t>Lieutenant-General Josias Fendall, Esq. c. 1628–1687, was the 4th Proprietary Governor of Maryland. He was born in England, and came to the Province of Maryland. He was the progenitor of the Fendall family in America.</t>
  </si>
  <si>
    <t>March 10, 1704</t>
  </si>
  <si>
    <t>Newport, Colony of Rhode Island, British America</t>
  </si>
  <si>
    <t>March 30, 1778</t>
  </si>
  <si>
    <t>Warren, Rhode Island, U.S.</t>
  </si>
  <si>
    <t>Josias Lyndon March 10, 1704 – March 30, 1778 was a governor of the Colony of Rhode Island and Providence Plantations, serving for a single one-year term.</t>
  </si>
  <si>
    <t>June 9, 1647</t>
  </si>
  <si>
    <t>Maryland Colony</t>
  </si>
  <si>
    <t>The Hon. Leonard Calvert 1606 – June 9, 1647 was the first proprietary governor of the Province of Maryland. He was the second son of The 1st Baron Baltimore 1579–1632, the first proprietor of Maryland. His elder brother Cecil 1605–1675, who inherited the colony and the title upon the death of their father George, April 15, 1632, appointed Leonard as governor of the Colony in his absence.</t>
  </si>
  <si>
    <t>15 October 1671</t>
  </si>
  <si>
    <t>Morrisania, Province of New York</t>
  </si>
  <si>
    <t>21 May 1746</t>
  </si>
  <si>
    <t>Kingsbury near Trenton, New Jersey</t>
  </si>
  <si>
    <t>Lewis Morris October 15, 1671 – May 21, 1746, chief justice of New York and British governor of New Jersey, was the first lord of the manor of Morrisania in New York City in what is now the Bronx.</t>
  </si>
  <si>
    <t>September 12, 1693</t>
  </si>
  <si>
    <t>Sir Lionel Copley 1648 – September 12, 1693 was the 1st Royal Governor of Maryland from 1692 through his death in 1693. He was the first official royal governor appointed by the British crown after the colony was removed from the proprietary control of the Calvert family during the Glorious Revolution.</t>
  </si>
  <si>
    <t>3 February 1784</t>
  </si>
  <si>
    <t>Guysborough, Nova Scotia community</t>
  </si>
  <si>
    <t>Lord Charles Greville Montagu 1741 – 3 February 1784 was the last Royal Governor of the Province of South Carolina from 1766 to 1773, with William Bull II serving terms in 1768 and 1769–1771. He also was the commander of the Duke of Cumberland's Regiment during the American Revolution.</t>
  </si>
  <si>
    <t>11 July 1730</t>
  </si>
  <si>
    <t>4 September 1778</t>
  </si>
  <si>
    <t>Lord William Campbell 11 July 1730 – 4 September 1778 was a Royal Navy officer, nobleman and colonial administrator who served as the Governor of Nova Scotia from 1766 to 1773. He was born into a Scottish family loyal to the House of Hanover. His father was John Campbell, 4th Duke of Argyll.</t>
  </si>
  <si>
    <t>27 May 1641</t>
  </si>
  <si>
    <t>Matthew Cradock also spelled Craddock and Craddocke; died 27 May 1641 was a London merchant, politician, and the first governor of the Massachusetts Bay Company. Founded in 1628, it was an organization of Puritan businessmen that organized and established the Massachusetts Bay Colony.</t>
  </si>
  <si>
    <t>January 7, 1609</t>
  </si>
  <si>
    <t>Matthew Scrivener 1580 – January 7, 1609 was an English colonist in Virginia. He served briefly as acting governor of Jamestown, but drowned while attempting to cross to nearby Hog Island in a storm in 1609. Eight other colonists were also drowned, half of them members of the governing Council, including Bartholomew Gosnold's brother Anthony. Scrivener was succeeded by Captain John Smith.</t>
  </si>
  <si>
    <t>c. 1620</t>
  </si>
  <si>
    <t>Nathaniel Bacon c. 1620 – 1692, sometimes referred to as "Bacon the Elder" was a politician in colonial Virginia. As President of the Virginia Governor's Council, Bacon served as the acting Governor of Virginia during multiple periods in the 1680s and 1690s.</t>
  </si>
  <si>
    <t>about 1683</t>
  </si>
  <si>
    <t>Queen Anne's, Maryland, United States</t>
  </si>
  <si>
    <t>Colonel Nathaniel Blakiston was the 8th Royal Governor of Maryland from 1698 to 1702. He succeeded Francis Nicholson and was succeeded by Thomas Tench. He was related to Nehemiah Blakiston.</t>
  </si>
  <si>
    <t>7 April 1644</t>
  </si>
  <si>
    <t>near Kibblesworth, Durham</t>
  </si>
  <si>
    <t>1 July 1712</t>
  </si>
  <si>
    <t>Sir Nathaniel Johnson 7 April 1644 – 1 July 1712 was a soldier and a Member of Parliament MP for Newcastle upon Tyne, 1680–1689. He was governor of the Leeward Islands 1686 and Carolina 1703–1709.</t>
  </si>
  <si>
    <t>about 1637</t>
  </si>
  <si>
    <t>before 11 December 1693</t>
  </si>
  <si>
    <t>Newcastle upon Tyne, Northumberland, England</t>
  </si>
  <si>
    <t>Nehemiah Blakiston was Governor of the Maryland colony from 1691 to 1692. He became Governor as the 2nd Leader of the Protestant Associators., succeeding John Coode, who has taken control of the colony, following the 1688 Glorious Revolution, in England. Blakiston was succeeded by the first Governor with an official royal appointment, Lionel Copley. He was related to Nathaniel Blakiston. He died between August 25, 1693, and December 11, 1693.</t>
  </si>
  <si>
    <t>February 3, 1717</t>
  </si>
  <si>
    <t>Providence, Colony of Rhode Island, British America</t>
  </si>
  <si>
    <t>September 14, 1782</t>
  </si>
  <si>
    <t>Providence, Rhode Island, U.S.</t>
  </si>
  <si>
    <t>Nicholas Cooke February 3, 1717 – September 14, 1782 was a governor of the Colony of Rhode Island and Providence Plantations during the American Revolutionary War, and after Rhode Island became a state, he continued in this position to become the first Governor of the State of Rhode Island.</t>
  </si>
  <si>
    <t>c.1593</t>
  </si>
  <si>
    <t>Hampshire, England</t>
  </si>
  <si>
    <t>15 August 1675</t>
  </si>
  <si>
    <t>Nicholas Easton c.1593–1675 was an early colonial President and Governor of Rhode Island. Born in Hampshire, England, he lived in the towns of Lymington and Romsey before immigrating to New England with his two sons in 1634.</t>
  </si>
  <si>
    <t>c. 1627</t>
  </si>
  <si>
    <t>December 17, 1697</t>
  </si>
  <si>
    <t>Colonel Nicholas Greenberry circa 1627 – December 17, 1697 was the 4th Royal Governor of Maryland, and Commander of the Military Forces of Anne Arundel and Baltimore Counties.</t>
  </si>
  <si>
    <t>Cople, Bedfordshire</t>
  </si>
  <si>
    <t>Colonel Nicholas Spencer, Jr. 1633–1689 was a merchant, planter and politician in colonial Virginia. Born in Cople, Bedfordshire, Spencer migrated to the Westmoreland County, Virginia, where he became a planter and which he represented in the Virginia House of Burgesses.</t>
  </si>
  <si>
    <t>c. 1717</t>
  </si>
  <si>
    <t>Stoke Gifford, Gloucestershire, England</t>
  </si>
  <si>
    <t>15 October 1770</t>
  </si>
  <si>
    <t>Governor's Palace, Williamsburg, Virginia</t>
  </si>
  <si>
    <t>Norborne Berkeley, 4th Baron Botetourt c. 1717 – 15 October 1770, was a British courtier, member of parliament, and royal governor of the colony of Virginia from 1768 until his death in 1770.</t>
  </si>
  <si>
    <t>ca. 1644</t>
  </si>
  <si>
    <t>17 August 1736</t>
  </si>
  <si>
    <t>Patrick Gordon ca. 1644 – 17 August 1736 was Deputy Governor of the Province of Pennsylvania and the Lower Counties on the Delaware from 22 June 1726 to 4 August 1736. He was deputy to the Proprietors of Pennsylvania, the heirs of William Penn, rather than to a governor. Since the proprietors were usually in England, he was essentially the governor.</t>
  </si>
  <si>
    <t>10 May 1639</t>
  </si>
  <si>
    <t>Peleg Sanford 10 May 1639 – 1701 was an early governor of the Colony of Rhode Island and Providence Plantations, serving three consecutive terms from 1680 to 1683.</t>
  </si>
  <si>
    <t>Jersey British Islands</t>
  </si>
  <si>
    <t>after 1676</t>
  </si>
  <si>
    <t>Peter Carteret born 1641, date of death unknown, but after 1676 was the Governor of the British colony of Albemarle which would later become North Carolina from 1670 to approximately 1672.</t>
  </si>
  <si>
    <t>Peter Hollander Ridder 1608–1692 was the governor of the Swedish colony of New Sweden from 1640 until 1643.</t>
  </si>
  <si>
    <t>Wesel, Duchy of Cleves, Holy Roman Empire modern North Rhine-Westphalia, Germany</t>
  </si>
  <si>
    <t>St. Christopher</t>
  </si>
  <si>
    <t>Peter Minuit between 1580 and 1585 – August 5, 1638 was a Wallonian merchant from Tournai, in present-day Belgium. He was the 3rd Director of the Dutch North American colony of New Netherland from 1626 until 1631, and 3rd Governor of New Netherland. He founded the Swedish colony of New Sweden on the Delaware Peninsula in 1638.</t>
  </si>
  <si>
    <t>c. 1610</t>
  </si>
  <si>
    <t>Peperga, Friesland, Netherlands</t>
  </si>
  <si>
    <t>August 1672</t>
  </si>
  <si>
    <t>Manhattan, Province of New York</t>
  </si>
  <si>
    <t>Peter Stuyvesant English: /ˈstaɪvəsənt/; in Dutch also Pieter and Petrus Stuyvesant, Dutch: ; c. 1610 – August 1672 was a Dutch colonial officer who served as the last Dutch director-general of the colony of New Netherland from 1647 until it was ceded provisionally to the English in 1664, after which it was split into New York and New Jersey with lesser territory becoming parts of other colonies, and later, states.</t>
  </si>
  <si>
    <t>Manoir de la Hougue, Jersey</t>
  </si>
  <si>
    <t>December 1682</t>
  </si>
  <si>
    <t>Philip Carteret; French: Philippe de Carteret; 1639–1682 was the first Governor of New Jersey, from 1665 to 1673 and governor of East New Jersey from 1674 to 1682.</t>
  </si>
  <si>
    <t>c.1638</t>
  </si>
  <si>
    <t>Bruton, Somerset, England</t>
  </si>
  <si>
    <t>Bruton, Somerset County, England</t>
  </si>
  <si>
    <t>c.1723</t>
  </si>
  <si>
    <t>Philip Cottington Ludwell c. 1638 – c. 1723 was an English-born planter and politician in colonial Virginia who sat on the Virginia Governor's Council, the first of three generations of men with the same name to do so, and briefly served as speaker of the House of Burgesses.</t>
  </si>
  <si>
    <t>c. 1626</t>
  </si>
  <si>
    <t>c. December 22, 1682</t>
  </si>
  <si>
    <t>Hon. Phillip Calvert c. 1626 - c. December 22, 1682, also known as Hon. Philip Calvert, was the fifth Governor of Maryland during a brief period in 1660 or 1661. He was appointed by the royally chartered proprietor of Maryland, Charles Calvert, 3rd Baron Baltimore 1637–1715, as a caretaker to replace Lt. Gen Josias Fendall 1628–1682, the fifth/sixth? provincial governor.</t>
  </si>
  <si>
    <t>17 September 1657</t>
  </si>
  <si>
    <t>Beverwijck, New Netherlands</t>
  </si>
  <si>
    <t>19 February 1724</t>
  </si>
  <si>
    <t>Albany, Province of New York</t>
  </si>
  <si>
    <t>Pieter Schuyler 17 September 1657 – 19 February 1724 was the first mayor of Albany, New York. A long-serving member of the executive council of the Province of New York, he acted as governor of the Province of New York on three occasions – twice for brief periods in 1709, after the death of Lord Lovelace, and also from 1719 to 1720, after Robert Hunter left office.</t>
  </si>
  <si>
    <t>c.1532</t>
  </si>
  <si>
    <t>October 1603</t>
  </si>
  <si>
    <t>Sir Ralph Lane c. 1532 – October 1603 was an English explorer of the Elizabethan era. He helped colonise the Kingdom of Ireland in 1583 and was sheriff of County Kerry, Ireland, from 1583 to 1585. He was part of the unsuccessful attempt in 1585 to colonise Roanoke Island, North Carolina. He was knighted by the Queen in 1593.</t>
  </si>
  <si>
    <t>c. 1592</t>
  </si>
  <si>
    <t>7 December 1672</t>
  </si>
  <si>
    <t>Richard Bellingham c. 1592 – 7 December 1672 was a colonial magistrate, lawyer, and several-time governor of the Massachusetts Bay Colony, and the last surviving signatory of the colonial charter at his death</t>
  </si>
  <si>
    <t>12 April 1675</t>
  </si>
  <si>
    <t>Wiveliscombe, Somerset</t>
  </si>
  <si>
    <t>Richard Bennett 1608 – 12 April 1675 was an English planter and Governor of the Colony of Virginia, serving 1652–1655. He had first come to the colony in 1629 to represent his uncle Edward Bennett's business interests, managing his plantation known as Bennett's Welcome in Warrascoyack later known as Isle of Wight County.</t>
  </si>
  <si>
    <t>5 March 1701</t>
  </si>
  <si>
    <t>Province of New York</t>
  </si>
  <si>
    <t>Richard Coote, 1st Earl of Bellomont sometimes spelled Bellamont, 1636 – 5 March 1700/01, known as The Lord Coote between 1683–89, was an Irish nobleman and colonial administrator who represented Droitwich in the English Parliament from 1688 to 1695. He was a prominent Williamite, supporting William III and Mary II during the Glorious Revolution.</t>
  </si>
  <si>
    <t>Plymouth colony</t>
  </si>
  <si>
    <t>Richard Greene died October 1622 was the first Governor of Wessagusset Colony in New England, located in modern-day Weymouth, Massachusetts. He died at Plymouth colony after having only governed the ill-fated Wessagusset colony for a few months since its creation in July. He was the brother-in-law of Thomas Weston, the primary investor in the colony.</t>
  </si>
  <si>
    <t>1 March 1719</t>
  </si>
  <si>
    <t>Richard Ingoldesby or Ingoldsby; died 1 March 1719 was a British army officer and lieutenant governor of both New Jersey and New York. He became the acting governor for the two colonies from May 1709 to April 1710.</t>
  </si>
  <si>
    <t>Virginia Colony, British America</t>
  </si>
  <si>
    <t>Sir Richard Kemp c. 1600 – c. 1650 was a planter and politician in the Colony of Virginia. Kemp served as the Colony's Secretary and on the Governor's Council from 1634 to 1649. As the council's senior member, he also served as the acting Colonial Governor of Virginia from 1644 to 1645 during travels by Governor Sir William Berkeley</t>
  </si>
  <si>
    <t>c.1610</t>
  </si>
  <si>
    <t>31 August 1684</t>
  </si>
  <si>
    <t>Sir Richard Kyrle c.1610 – 31 August 1684 was an English politician who briefly served as Governor of the Province of Carolina in 1684.</t>
  </si>
  <si>
    <t>28 May 1672</t>
  </si>
  <si>
    <t>North Sea, off Suffolk</t>
  </si>
  <si>
    <t>Richard Nicolls sometimes written as Nichols, 1624 – 28 May 1672 was the first English colonial governor of New York province.</t>
  </si>
  <si>
    <t>Circa 1735</t>
  </si>
  <si>
    <t>May 27, 1811</t>
  </si>
  <si>
    <t>Richmond, England</t>
  </si>
  <si>
    <t>Richard Penn Jr. 1735 – 27 May 1811, Richmond, Surrey, England served as the lieutenant governor of the Province of Pennsylvania from 1771 to 1773, and was later a member of the British Parliament.</t>
  </si>
  <si>
    <t>19 April 1651</t>
  </si>
  <si>
    <t>Richard Vines 1585 – 19 April 1651 was an English colonial explorer of northern New England, and an early administrator and deputy governor of the Province of Maine.</t>
  </si>
  <si>
    <t>6 January 1615</t>
  </si>
  <si>
    <t>Alcester, Warwickshire, England</t>
  </si>
  <si>
    <t>27 June 1689</t>
  </si>
  <si>
    <t>Dover, Province of New Hampshire</t>
  </si>
  <si>
    <t>Major Richard Waldron or Richard Waldern, Richard Walderne; 1615–1689 was an English-born merchant, soldier, and government official who rose to prominence in early colonial Dover, New Hampshire. His presence spread to greater New Hampshire and neighboring Massachusetts. He was the second president of the colonial New Hampshire Royal Council after it was first separated from Massachusetts.</t>
  </si>
  <si>
    <t>April 15, 1689</t>
  </si>
  <si>
    <t>August 21, 1763</t>
  </si>
  <si>
    <t>Richard Ward April 15, 1689 – August 21, 1763 was a governor of the Colony of Rhode Island and Providence Plantations, serving for one complete term from 1741 to 1742.</t>
  </si>
  <si>
    <t>c. 1660</t>
  </si>
  <si>
    <t>Beverwyck, Albany, Province of New York</t>
  </si>
  <si>
    <t>10 June 1749</t>
  </si>
  <si>
    <t>Manhattan, New York</t>
  </si>
  <si>
    <t>Rip Van Dam c. 1660 – 10 June 1749 was the acting governor of the Province of New York from 1731 to 1732. As one of the leaders of the republican liberal or "country" party, Van Dam confronted the subsequent royal governor William Cosby.</t>
  </si>
  <si>
    <t>23 December 1648</t>
  </si>
  <si>
    <t>3 October 1690</t>
  </si>
  <si>
    <t>Ury House, Kincardineshire</t>
  </si>
  <si>
    <t>Robert Barclay 23 December 1648 – 3 October 1690 was a Scottish Quaker, one of the most eminent writers belonging to the Religious Society of Friends and a member of the Clan Barclay.</t>
  </si>
  <si>
    <t>4 August 1663</t>
  </si>
  <si>
    <t>Corotoman Plantation, Lancaster County, Virginia, British America</t>
  </si>
  <si>
    <t>4 August 1732</t>
  </si>
  <si>
    <t>Lancaster County, Virginia, British America</t>
  </si>
  <si>
    <t>Robert "King" Carter 4 August 1663 – 4 August 1732 was a merchant, planter and powerful politician in colonial Virginia. Born in Lancaster County, Carter eventually became one of the richest men in the Thirteen Colonies. As President of the Virginia Governor's Council, Carter served as the royal governor of Virginia from 1726 to 1727 after the previous governor, Hugh Drysdale, died in office.</t>
  </si>
  <si>
    <t>April 20, 1646</t>
  </si>
  <si>
    <t>Cardigan, Wales</t>
  </si>
  <si>
    <t>May 1, 1718</t>
  </si>
  <si>
    <t>Charleston, South Carolina</t>
  </si>
  <si>
    <t>Robert Daniell born 1646 was a Welsh military officer and colonial administrator who served as governor of the Province of South Carolina from 1716 to 1717.</t>
  </si>
  <si>
    <t>Glasgow, Kingdom of Scotland</t>
  </si>
  <si>
    <t>27 July 1770</t>
  </si>
  <si>
    <t>Clifton, England, Kingdom of Great Britain</t>
  </si>
  <si>
    <t>Robert Dinwiddie 1692 – 27 July 1770 was a British colonial administrator who served as lieutenant governor of colonial Virginia from 1751 to 1758, first under Governor Willem Anne van Keppel, 2nd Earl of Albemarle, and then, from July 1756 to January 1758, as deputy for John Campbell, 4th Earl of Loudoun.</t>
  </si>
  <si>
    <t>January 9, 1644</t>
  </si>
  <si>
    <t>Robert Gibbes January 9, 1644 – June 24, 1715 was an English Landgrave, chairman and acting governor of the province of South Carolina between 1710-1712. Although he was elected acting governor by the Executive Council between the three proprietary deputies of former governor, Edward Tynte, after his death, received one vote more than his opponent Thomas Broughton, getting it through bribery.</t>
  </si>
  <si>
    <t>late 1620s</t>
  </si>
  <si>
    <t>Robert Gorges 1595 – late 1620s was a captain in the Royal Navy and briefly Governor-General of New England from 1623 to 1624. He was the son of Sir Ferdinando Gorges</t>
  </si>
  <si>
    <t>31 March 1734</t>
  </si>
  <si>
    <t>Jamaica, West Indies</t>
  </si>
  <si>
    <t>Robert Hunter 1666–1734 was a British military officer, colonial governor of New York and New Jersey from 1710 to 1720, and governor of Jamaica from 1727 to 1734.</t>
  </si>
  <si>
    <t>https://en.wikipedia.org/wiki/Joseph_Bridger</t>
  </si>
  <si>
    <t>before 28 Apr 1631</t>
  </si>
  <si>
    <t>before 8 May 1686</t>
  </si>
  <si>
    <t>General Joseph Bridger before 28 Apr 1631 – before 8 May 1686 was a military and political figure in the Colony of Virginia. Some sources relate him as "Colonel" Col. Bridger.</t>
  </si>
  <si>
    <t>c. 1700</t>
  </si>
  <si>
    <t>27 January 1764</t>
  </si>
  <si>
    <t>Shrewsbury, New Jersey</t>
  </si>
  <si>
    <t>Robert Hunter Morris c. 1700 – 27 January 1764, was a prominent governmental figure in Colonial Pennsylvania, serving as governor of Pennsylvania and Chief Justice of the New Jersey Supreme Court.</t>
  </si>
  <si>
    <t>Charlestown, Province of South Carolina</t>
  </si>
  <si>
    <t>Robert Johnson 1682 – 1735 served as the governor of South Carolina from 1717 to 1719 and from 1729 to 1735. Johnson ordered Colonel William Rhett to engage the notorious pirate Stede Bonnet's sloops in the Battle of Cape Fear River with the Charleston Militia on sea in 1718. His grandson was South Carolina Senator Ralph Izard.</t>
  </si>
  <si>
    <t>Yorkshire, England</t>
  </si>
  <si>
    <t>21 May 1782</t>
  </si>
  <si>
    <t>Lieutenant-General Robert Monckton 24 June 1726 – 21 May 1782 was an officer of the British Army and colonial administrator in British North America. He had a distinguished military and political career, being second in command to General James Wolfe at the battle of Quebec and later being named the Governor of the Province of New York.</t>
  </si>
  <si>
    <t>c. 1644</t>
  </si>
  <si>
    <t>October 1712</t>
  </si>
  <si>
    <t>Robert Quary 1644–1712 was a governor of the English proprietary Province of Carolina during 1685. He would later serve on the provincial councils of several other colonies.</t>
  </si>
  <si>
    <t>Seth Sothel also spelled Sothell and Southwell, d. c. 1694 was a colonial fradulent American proprietor and governor of the Province of Carolina. He claimed he ruled the northern portion, Albemarle Sound future North Carolina, in 1678 and the southern portion future South Carolina from 1690 to 1692. He died in North Carolina in about 1694.</t>
  </si>
  <si>
    <t>February 23, 1624</t>
  </si>
  <si>
    <t>Pitminster, Somerset, England</t>
  </si>
  <si>
    <t>July 12, 1710</t>
  </si>
  <si>
    <t>Milford, Connecticut Colony</t>
  </si>
  <si>
    <t>Robert Treat February 23, 1624 – July 12, 1710 was a New England Puritan colonial leader, militia officer and governor of the Connecticut Colony between 1683 and 1698. In 1666 he helped found Newark, New Jersey.</t>
  </si>
  <si>
    <t>c. 21 December 1603</t>
  </si>
  <si>
    <t>between 21 January and 15 March 1683</t>
  </si>
  <si>
    <t>Providence Plantations, Colony of Rhode Island and Providence Plantations</t>
  </si>
  <si>
    <t>Roger Williams c. December 21, 1603 – March 1683 was an English-born New England Puritan minister, theologian, and author who founded Providence Plantations, which became the Colony of Rhode Island and Providence Plantations and later the State of Rhode Island and Providence Plantations. He was a staunch advocate for religious freedom, separation of church and state, and fair dealings with the American Indians.</t>
  </si>
  <si>
    <t>January 4, 1679</t>
  </si>
  <si>
    <t>Windsor, Connecticut</t>
  </si>
  <si>
    <t>May 17, 1767</t>
  </si>
  <si>
    <t>Roger Wolcott January 4, 1679 – May 17, 1767 was an American weaver, statesman, and politician from Windsor, Connecticut. He served as colonial governor of Connecticut from 1751 to 1754.</t>
  </si>
  <si>
    <t>Samuel Allen 1635–1705 was an English proprietor and governor of the Province of New Hampshire. Born in London, he was a successful merchant, who in 1691 purchased the proprietary claims of the heirs of the colony's founder, John Mason. He was commissioned governor of the province in 1692 by William III and Mary II, a post he held until 1699. He upset local landowners and the colonial bureaucracy in London with his pursuit of territorial claims, which were largely unsuccessful. He died in 1705, before his claims had been resolved.</t>
  </si>
  <si>
    <t>1572 or 1580</t>
  </si>
  <si>
    <t>24 January 1626</t>
  </si>
  <si>
    <t>Sir Samuel Argall 1572 or 1580 – 24 January 1626 was an English adventurer and naval officer.</t>
  </si>
  <si>
    <t>4 November 1649</t>
  </si>
  <si>
    <t>Horsham, Sussex, England</t>
  </si>
  <si>
    <t>10 April 1714</t>
  </si>
  <si>
    <t>Samuel Carpenter 4 November 1649 – 10 April 1714 was a Deputy Governor of colonial Pennsylvania. He signed the historic document "The Declaration of Fealty, Christian Belief and Test" dated 10 September 1695; the original is in the Historical Society of Pennsylvania. Samuel was also called the "First Treasurer" of Pennsylvania, and was a partner and friend of proprietor William Penn.</t>
  </si>
  <si>
    <t>August 1659</t>
  </si>
  <si>
    <t>April 26, 1727</t>
  </si>
  <si>
    <t>Samuel Cranston 1659–1727 was a governor of the Colony of Rhode Island and Providence Plantations during the first quarter of the 18th century. He held office from 1698 to 1727, being elected to office 30 times twice in 1698, and served as governor longer than any other individual in the history of both the colony and the state of Rhode Island.</t>
  </si>
  <si>
    <t>baptized 12 Feb 1592</t>
  </si>
  <si>
    <t>Manchester, Lancashire, England</t>
  </si>
  <si>
    <t>by 10 December 1677</t>
  </si>
  <si>
    <t>Warwick, Colony of Rhode Island and Providence Plantations</t>
  </si>
  <si>
    <t>Samuel Gorton 1593–1677 was an early settler and civic leader of the Colony of Rhode Island and Providence Plantations and President of the towns of Providence and Warwick. He had strong religious beliefs which differed from Puritan theology and was very outspoken, and he became the leader of a small sect known as Gortonians, Gortonists, or Gortonites</t>
  </si>
  <si>
    <t>Warwick County, Virginia</t>
  </si>
  <si>
    <t>Lt. Col. Samuel Mathews 1630–1660, Commonwealth Governor of Virginia, of Warwick County in the English Colony of Virginia, was a member of the House of Burgesses, the Governor's Council, and served as Commonwealth Governor of Virginia from 1656 until he died in office in January, 1660 1659 A.S.</t>
  </si>
  <si>
    <t>c. 1694</t>
  </si>
  <si>
    <t>Northumberland, England</t>
  </si>
  <si>
    <t>3 May 1752</t>
  </si>
  <si>
    <t>Samuel Ogle c. 1694 – 3 May 1752 was the 16th, 18th and 20th Proprietary Governor of Maryland from 1731 to 1732, 1733 to 1742, and 1746/1747 to 1752.</t>
  </si>
  <si>
    <t>January 12, 1662</t>
  </si>
  <si>
    <t>April 15, 1742</t>
  </si>
  <si>
    <t>Samuel Shute January 12, 1662 – April 15, 1742 was an English military officer and royal governor of the provinces of Massachusetts and New Hampshire. After serving in the Nine Years' War and the War of the Spanish Succession, he was appointed by King George I as governor of Massachusetts and New Hampshire in 1716.</t>
  </si>
  <si>
    <t>Jamestown, Virginia</t>
  </si>
  <si>
    <t>Albemarle County, North Carolina</t>
  </si>
  <si>
    <t>Samuel Stephens 1629–1669 was the Governor of the Albemarle colony which would later become North Carolina from 1667 until his death in late 1669. He was appointed by the Lords Proprietor to succeed William Drummond.</t>
  </si>
  <si>
    <t>May 25, 1725</t>
  </si>
  <si>
    <t>March 26, 1776</t>
  </si>
  <si>
    <t>Samuel Ward May 25, 1725 – March 26, 1776 was an American farmer, politician, Rhode Island Supreme Court justice, governor of the Colony of Rhode Island and Providence Plantations, and delegate to the Continental Congress where he signed the Continental Association.</t>
  </si>
  <si>
    <t>Harlingen, Friesland, Dutch Republic</t>
  </si>
  <si>
    <t>Amsterdam, Dutch Republic</t>
  </si>
  <si>
    <t>Bastiaen Jansz Krol also Sebastiaen Janssen Crol or Crull; 1595, Harlingen – 14 March 1674 was Director of New Netherland from 1632 to 1633.</t>
  </si>
  <si>
    <t>baptized March 18, 1603</t>
  </si>
  <si>
    <t>March 27, 1697</t>
  </si>
  <si>
    <t>Salem, Province of Massachusetts Bay</t>
  </si>
  <si>
    <t>Simon Bradstreet baptized March 18, 1603/4 – March 27, 1697 was a colonial magistrate, businessman, diplomat, and the last governor of the Massachusetts Bay Colony. Arriving in Massachusetts on the Winthrop Fleet in 1630, Bradstreet was almost constantly involved in the politics of the colony but became its governor only in 1679</t>
  </si>
  <si>
    <t>17 November 1715</t>
  </si>
  <si>
    <t>Shefford, England</t>
  </si>
  <si>
    <t>12 October 1753</t>
  </si>
  <si>
    <t>Sir Danvers Osborn, 3rd Baronet 17 November 1715 – 12 October 1753 served briefly in 1753 as colonial governor of New York Province.</t>
  </si>
  <si>
    <t>baptised 12 July 1712</t>
  </si>
  <si>
    <t>Brightwell-cum-Sotwell, Berkshire, England</t>
  </si>
  <si>
    <t>16 June 1779</t>
  </si>
  <si>
    <t>Nether Winchendon, Buckinghamshire, England</t>
  </si>
  <si>
    <t>Sir Francis Bernard, 1st Baronet bapt. 12 July 1712 – 16 June 1779 was a British colonial administrator who served as governor of the provinces of New Jersey and Massachusetts Bay.</t>
  </si>
  <si>
    <t>Sir George Thomas, 1st Baronet died 1774 was an English colonial government official, who served as Governor of the Leeward Islands.</t>
  </si>
  <si>
    <t>7 February 1713</t>
  </si>
  <si>
    <t>Vere Parish, Jamaica</t>
  </si>
  <si>
    <t>11 September 1769</t>
  </si>
  <si>
    <t>New York, New York</t>
  </si>
  <si>
    <t>Sir Henry Moore, 1st Baronet 7 February 1713 – 11 September 1769 was a British colonial leader who served as governor of Jamaica and as royal Governor of Province of New York from 1765 to 1769.</t>
  </si>
  <si>
    <t>14 September 1741</t>
  </si>
  <si>
    <t>Durham, England</t>
  </si>
  <si>
    <t>2 September 1784</t>
  </si>
  <si>
    <t>Sir Robert Eden, 1st Baronet, of Maryland, 23rd Proprietary Governor of Maryland 14 September 1741 – 2 September 1784 was a British official and the last colonial Governor of Maryland. Although a popular governor and an able administrator, Eden's authority was overthrown by the events of the American Revolution, and in June 1776 he was invited by the Maryland Convention to leave for England</t>
  </si>
  <si>
    <t>21 October 1681</t>
  </si>
  <si>
    <t>Great Yarmouth, England</t>
  </si>
  <si>
    <t>17 December 1751</t>
  </si>
  <si>
    <t>Sir William Gooch, 1st Baronet 21 October 1681 – 17 December 1751 was a British Army officer and colonial administrator who served as the governor of Virginia from 1727 to 1749.</t>
  </si>
  <si>
    <t>Boddam Castle, Scotland</t>
  </si>
  <si>
    <t>18 November 1749</t>
  </si>
  <si>
    <t>Sir William Keith, 4th Baronet 1669 – 18 November 1749 was a Scottish colonial administrator who served as lieutenant-governor of the British colonies of Pennsylvania and Delaware, from 1717 to 1726.</t>
  </si>
  <si>
    <t>June 6, 1685</t>
  </si>
  <si>
    <t>Rowley, Massachusetts</t>
  </si>
  <si>
    <t>April 4, 1757</t>
  </si>
  <si>
    <t>Spencer Phips June 6, 1685 – April 4, 1757 was a government official in the Province of Massachusetts Bay. Born Spencer Bennett, he was adopted by Massachusetts Governor Sir William Phips, his uncle by marriage, whose name he legally took</t>
  </si>
  <si>
    <t>March 7, 1707</t>
  </si>
  <si>
    <t>July 13, 1785</t>
  </si>
  <si>
    <t>Providence, State of Rhode Island</t>
  </si>
  <si>
    <t>Stephen Hopkins March 7, 1707 – July 13, 1785 was a Founding Father of the United States, a governor of the Colony of Rhode Island and Providence Plantations, a chief justice of the Rhode Island Supreme Court, and a signer of the Continental Association and Declaration of Independence</t>
  </si>
  <si>
    <t>~1590</t>
  </si>
  <si>
    <t>Stony Stratford, Buckinghamshire, England</t>
  </si>
  <si>
    <t>Theophilus Eaton c. 1590—January 7, 1658 was a wealthy New England Puritan merchant and diplomat. He became 1st Governor of New Haven Colony, Connecticut, cofounder of that same colony and cofounder of the Massachusetts Bay Colony. His brother, Nathaniel Eaton, was the first Head of Harvard.</t>
  </si>
  <si>
    <t>23 February 1698</t>
  </si>
  <si>
    <t>2 February 1780</t>
  </si>
  <si>
    <t>Leyton Grange, England</t>
  </si>
  <si>
    <t>Thomas Bladen 23 February 1698 – 2 February 1780 was a colonial governor in North America and politician who sat in the British House of Commons between 1727 and 1741. He served as the 19th Proprietary Governor of Maryland from 1742 to 1747.</t>
  </si>
  <si>
    <t>25 September 1812</t>
  </si>
  <si>
    <t>Lee then part of County Kent</t>
  </si>
  <si>
    <t>Thomas Boone c. 1730 – 25 September 1812 was the 7th Royal Governor of New Jersey and the 28th Royal Governor of South Carolina. The New Jersey town of Boonton Boone Town, Booneton is named in his honour.</t>
  </si>
  <si>
    <t>Nottingham, Prince George's County, Maryland</t>
  </si>
  <si>
    <t>7 Jan 1730</t>
  </si>
  <si>
    <t>Colonel Thomas Brooke Jr. of Brookefield 1660 – 1731 was President of the Council in Maryland and acting 13th Proprietary Governor of the Province of Maryland. He was the son of Major Thomas Brooke Sr. and Esquire 1632–1676 and his second wife Eleanor Hatton 1642–1725 who later remarried Col. Henry Darnall 1645-1711.</t>
  </si>
  <si>
    <t>ca. 1668</t>
  </si>
  <si>
    <t>November 22, 1737</t>
  </si>
  <si>
    <t>Thomas Broughton ca. 1668 – November 22, 1737 was a colonial-era official in South Carolina, serving a variety of positions, including acting Governor from May 5, 1735, through November 22, 1737.</t>
  </si>
  <si>
    <t>Buckinghamshire, England</t>
  </si>
  <si>
    <t>c. 1718</t>
  </si>
  <si>
    <t>Bath County, North-Carolina</t>
  </si>
  <si>
    <t>Thomas Cary who served as the fourth and last Deputy Governor of North-Carolina. He is best known for his role in the revolt known as Cary's Rebellion, between 1708 and 1711, in which he usurped power from then-Deputy Governor William Glover, driving Glover from the province.</t>
  </si>
  <si>
    <t>March 21, 1635</t>
  </si>
  <si>
    <t>January 27, 1689</t>
  </si>
  <si>
    <t>Thomas Colepeper 21 March 1635 – 27 January 1689, 2nd Baron Colepeper, was an English peer and colonial administrator who served as the governor of the Isle of Wight from 1661 to 1667 and as the governor of Virginia from 1677 to 1683.</t>
  </si>
  <si>
    <t>c. 1570</t>
  </si>
  <si>
    <t>19 August 1619</t>
  </si>
  <si>
    <t>Machilipatnam, Golconda Sultanate</t>
  </si>
  <si>
    <t>Sir Thomas Dale c. 1570 − 19 August 1619 was an English naval commander and deputy-governor of the Virginia Colony in 1611 and from 1614 to 1616. Governor Dale is best remembered for the energy and the extreme rigour of his administration in Virginia, which established order and in various ways seems to have benefited the colony, although he was criticised for high-handedness. He is also credited with the establishment of Bermuda Hundred, Bermuda Cittie, and the Cittie of Henricus.</t>
  </si>
  <si>
    <t>bapt. November 20, 1623</t>
  </si>
  <si>
    <t>Framlingham, Suffolk, England</t>
  </si>
  <si>
    <t>November 5, 1699</t>
  </si>
  <si>
    <t>Province of Massachusetts Bay</t>
  </si>
  <si>
    <t>Thomas Danforth baptized November 20, 1623 – November 5, 1699 was a politician, magistrate, and landowner in the Massachusetts Bay Colony. A conservative Puritan, he served for many years as one of the colony's councilors and magistrates, generally leading opposition to attempts by the English kings to assert control over the colony</t>
  </si>
  <si>
    <t>14 December 1715</t>
  </si>
  <si>
    <t>Thomas Dongan, pronounced "Dungan" 2nd Earl of Limerick 1634 – 14 December 1715, was a member of the Irish Parliament, Royalist military officer during the English Civil War, and Governor of the Province of New York. He is noted for having called the first representative legislature in New York, and for granting the province's Charter of Liberties.</t>
  </si>
  <si>
    <t>12 October 1576</t>
  </si>
  <si>
    <t>Yardley Hastings, Northamptonshire, England</t>
  </si>
  <si>
    <t>31 July 1653</t>
  </si>
  <si>
    <t>Thomas Dudley 12 October 1576 – 31 July 1653 was a New England colonial magistrate who served several terms as governor of the Massachusetts Bay Colony.</t>
  </si>
  <si>
    <t>January 1678</t>
  </si>
  <si>
    <t>Thomas Eastchurch ? - January, 1678 was governor of Albemarle County, North Carolina between 1675 and 1676. During his time in office, he imprisoned the former governor John Jenkins for various offenses.</t>
  </si>
  <si>
    <t>c. 1699</t>
  </si>
  <si>
    <t>Norwalk, Connecticut Colony</t>
  </si>
  <si>
    <t>July 18, 1774</t>
  </si>
  <si>
    <t>Thomas Fitch IV c. 1699 – July 18, 1774 was governor of the Connecticut Colony from 1754 to 1766.</t>
  </si>
  <si>
    <t>10 March 1718</t>
  </si>
  <si>
    <t>General Thomas Gage 10 March 1718/19 – 2 April 1787 was a British Army general officer and colonial official best known for his many years of service in North America, including his role as British commander-in-chief in the early days of the American Revolution.</t>
  </si>
  <si>
    <t>Netherlands</t>
  </si>
  <si>
    <t>Sir Thomas Gates fl.?—1622, was the governor of Jamestown, in the English colony of Virginia now the Commonwealth of Virginia, part of the United States of America. His predecessor, George Percy, through inept leadership, was responsible for the lives lost during the period called the Starving Time.</t>
  </si>
  <si>
    <t>17 October 1670</t>
  </si>
  <si>
    <t>Heavitree, Exeter, England</t>
  </si>
  <si>
    <t>Thomas Gorges 1618 – 17 October 1670 was an English lawyer and politician who sat in the House of Commons between 1654 and 1660. He was a colonial governor of the Province of Maine from 1640 to 1643 and served as an officer in the Parliamentary Army during the English Civil War.</t>
  </si>
  <si>
    <t>Bobbing Manor, Bobbing, Kent, England</t>
  </si>
  <si>
    <t>by 20 January 1652</t>
  </si>
  <si>
    <t>St. Mary's County, Maryland</t>
  </si>
  <si>
    <t>Thomas Greene of Bobbing, Kent, 2nd Proprietary Governor of Maryland 1610, Bobbing, Kent, England – shortly before 20 January 1652 St. Mary's County, Maryland was an early settler of the Maryland colony and second Provincial Governor of the colony from 1647 to 1648.</t>
  </si>
  <si>
    <t>Berkeley Precinct, Albemarle County modern Perquimans County, North Carolina</t>
  </si>
  <si>
    <t>Albemarle County</t>
  </si>
  <si>
    <t>Thomas Harvey 1668-1699 was the Deputy Governor of North Carolina from 1694 to 1699.</t>
  </si>
  <si>
    <t>March 19, 1618</t>
  </si>
  <si>
    <t>Tenterden, Kent, England</t>
  </si>
  <si>
    <t>April 25, 1706</t>
  </si>
  <si>
    <t>Barnstable, Province of Massachusetts Bay</t>
  </si>
  <si>
    <t>Thomas Hinckley bapt. March 19, 1618 – April 25, 1706 was the last governor of the Plymouth Colony. Born in England, he arrived in New England as a teenager, and was a leading settler of what is now Barnstable, Massachusetts. He served in a variety of political and military offices before becoming governor of the colony in 1680, a post he held excluding the interregnum of the Dominion of New England 1686-1689 until the colony was folded into the Province of Massachusetts Bay in 1692</t>
  </si>
  <si>
    <t>9 September 1711</t>
  </si>
  <si>
    <t>Boston, Massachusetts Bay</t>
  </si>
  <si>
    <t>3 June 1780</t>
  </si>
  <si>
    <t>Brompton, Middlesex</t>
  </si>
  <si>
    <t>businessman, historian, and a prominent Loyalist politician of the Province of Massachusetts Bay in the years before the American Revolution. He has been referred to as "the most important figure on the loyalist side in pre-Revolutionary Massachusetts</t>
  </si>
  <si>
    <t>Thomas Jarvis 1623–1694 was the Deputy Governor of the Carolina Province from 1691 to 1694.</t>
  </si>
  <si>
    <t>c. 1645</t>
  </si>
  <si>
    <t>Chelsea, Middlesex, England</t>
  </si>
  <si>
    <t>April 25, 1714</t>
  </si>
  <si>
    <t>Sir Thomas Lawrence, 3rd Baronet c. 1645 – 1714 was the 2nd Royal Governor of Maryland in 1693, elected by the Governor's Council following the death of Sir Lionel Copley, 1648-1693. He governed the colony for only a few weeks before the new royally appointed governor, Edmund Andros, 1637-1714, arrived from his trans-Atlantic trip to take over control of the colony. He was briefly the 6th Royal Governor of Maryland a second time when Andros then left the colony in 1694 later also served as governor in the Dominion of New England and Virginia</t>
  </si>
  <si>
    <t>Mount Pleasant at Machodoc River, Westmoreland County, Colony of Virginia</t>
  </si>
  <si>
    <t>November 14, 1750</t>
  </si>
  <si>
    <t>Stratford Hall, Westmoreland County, Colony of Virginia</t>
  </si>
  <si>
    <t>Colonel Thomas Lee c. 1690 – November 14, 1750 was a planter and politician in colonial Virginia, and a member of the Lee family, a political dynasty. Lee became involved in politics in 1710, serving in both houses of the Virginia General Assembly, and also held important positions as Naval Officer for the Northern Potomac Region and agent for the Northern Neck Proprietary</t>
  </si>
  <si>
    <t>6 April 1640</t>
  </si>
  <si>
    <t>10 September 1694</t>
  </si>
  <si>
    <t>Thomas Lloyd 6 April 1640 – 10 September 1694 was a lieutenant-governor of the Province of Pennsylvania and a Quaker preacher.</t>
  </si>
  <si>
    <t>October 1685</t>
  </si>
  <si>
    <t>Thomas Miller died in October 1685 was the acting colonial governor of North Carolina for about six months in 1677 during the absence of the official governor Thomas Eastchurch. During Miller's government, the Anti-Proprietors, led by John Culpeper, provoked the Culpeper's Rebellion.</t>
  </si>
  <si>
    <t>3 April 1679</t>
  </si>
  <si>
    <t>Thomas Notley Cerne Abbas, Dorset, England 1632 - 3 April 1679 was the 8th Proprietary Governor of Maryland from 1676 through 1679. Having first moved to Barbados he immigrated to America in 1662. He was the speaker of the legislature in 166</t>
  </si>
  <si>
    <t>8 March 1702</t>
  </si>
  <si>
    <t>Kensington, London</t>
  </si>
  <si>
    <t>21 March 1775</t>
  </si>
  <si>
    <t>Stoke Poges, Buckinghamshire</t>
  </si>
  <si>
    <t>Thomas Penn 8 March 1702 – 21 March 1775 was an English landowner and mercer who was the chief proprietor of Pennsylvania from 1746 to 1775. Penn is best known for his involvement in negotiating the Walking Purchase, a contested land cession treaty he negotiated with Lenape chief Lappawinsoe in 1737 which transferred control over 1,200,000 acres 4,860 km2 of territory from the Lenape tribe to the Province of Pennsylvania.</t>
  </si>
  <si>
    <t>25 February 1805</t>
  </si>
  <si>
    <t>bapt. 4 September 1722</t>
  </si>
  <si>
    <t>Thomas Pownall bapt. 4 September 1722 N.S. – 25 February 1805 was a British colonial official and politician. He was governor of the Province of Massachusetts Bay from 1757 to 1760, and afterwards sat in the House of Commons from 1767 to 1780. He travelled widely in the North American colonies prior to the American Revolutionary War, opposed Parliamentary attempts to tax the colonies, and was a minority advocate of colonial positions until the Revolution.</t>
  </si>
  <si>
    <t>Lechlade, Gloucestershire, England</t>
  </si>
  <si>
    <t>March 29, 1673</t>
  </si>
  <si>
    <t>Plymouth, Plymouth Colony</t>
  </si>
  <si>
    <t>Thomas Prence c. 1601 – March 29, 1673 was a New England colonist who arrived in the colony of Plymouth in November 1621 on the ship Fortune. In 1644 he moved to Eastham, which he helped found, returning later to Plymouth. For many years, he was prominent in Plymouth colony affairs and was colony governor for about twenty years, covering three terms.</t>
  </si>
  <si>
    <t>16 November 1694</t>
  </si>
  <si>
    <t>Thomas Smith 1648 – 16 November 1694 was an English-born colonial administrator, merchant, planter and surgeon who served the colonial governor of South Carolina from 1693 to 1694.</t>
  </si>
  <si>
    <t>c. 1650s</t>
  </si>
  <si>
    <t>650s</t>
  </si>
  <si>
    <t>St. James' Parish</t>
  </si>
  <si>
    <t>Thomas Tench c. 1650s – 1708 was the 9th Royal Governor of Maryland, from 1702 to 1704. He was appointed by his predecessor, Nathaniel Blakiston, and was succeeded by Colonel John Seymour.</t>
  </si>
  <si>
    <t>10 July 1594</t>
  </si>
  <si>
    <t>Stourton, Whichford, Warwickshire, England</t>
  </si>
  <si>
    <t>14 January 1660</t>
  </si>
  <si>
    <t>Wethersfield, Connecticut</t>
  </si>
  <si>
    <t>Thomas Welles c. 10 July 1594 – 14 January 1660 is the only person in Connecticut's history to hold all four top offices: governor, deputy governor, treasurer, and secretary. In 1639, he was elected as the first treasurer of the Colony of Connecticut, and from 1640 to 1649 served as the colony's secretary.</t>
  </si>
  <si>
    <t>9 July 1577</t>
  </si>
  <si>
    <t>7 June 1618</t>
  </si>
  <si>
    <t>Thomas West, 3rd Baron De La Warr /ˈdɛləwɛər/ listen DEL-ə-wair; 9 July 1577 – 7 June 1618, was an English merchant and politician, for whom the bay, the river, and, consequently, a Native American people and U.S. state, all later called "Delaware", were named. He was a member of the House of Lords from the death of his father in 1602 until his own death in 1618.</t>
  </si>
  <si>
    <t>Bishops Itchington, Warwickshire, England</t>
  </si>
  <si>
    <t>Stratham, Rockingham, New Hampshire</t>
  </si>
  <si>
    <t>Captain Thomas Wiggin 1601–1666, often known as Governor Thomas Wiggin, was the first governor of the Upper Plantation of New Hampshire, a settlement that later became part of the Province of New Hampshire in 1679.</t>
  </si>
  <si>
    <t>Walter Barefoote also Barefoot, fl. 1655 – d. 1688 was colonist and deputy governor of the Province of New Hampshire. From 1685 to 1686 he served as acting governor of the province.</t>
  </si>
  <si>
    <t>May 23, 1714</t>
  </si>
  <si>
    <t>Walter Clarke 1640–1714 was an early governor of the Colony of Rhode Island and Providence Plantations and the first native-born governor of the colony. The son of colonial President Jeremy Clarke, he was a Quaker like his father</t>
  </si>
  <si>
    <t>Walter Neale fl. 1618–1639 was an English military officer and an explorer and colonial administrator in the territory of New England that later became New Hampshire.</t>
  </si>
  <si>
    <t>c. 22 January 1552</t>
  </si>
  <si>
    <t>East Budleigh, Devon, England</t>
  </si>
  <si>
    <t>29 October 1618</t>
  </si>
  <si>
    <t>Sir Walter Raleigh /ˈrɔːli, ˈræli, ˈrɑːli/; c. 1552 – 29 October 1618 was an English statesman, soldier, writer and explorer. One of the most notable figures of the Elizabethan era, he played a leading part in English colonisation of North America, suppressed rebellion in Ireland, helped defend England against the Spanish Armada and held political positions under Elizabeth I.</t>
  </si>
  <si>
    <t>September 1597</t>
  </si>
  <si>
    <t>Amsterdam</t>
  </si>
  <si>
    <t>September 27, 1647</t>
  </si>
  <si>
    <t>Princess Amelia, near Swansea, Wales</t>
  </si>
  <si>
    <t>Willem Kieft September 1597 – September 27, 1647 was a Dutch merchant and the Director of New Netherland of which New Amsterdam was the capital from 1638 to 1647.</t>
  </si>
  <si>
    <t>5 June 1702</t>
  </si>
  <si>
    <t>Whitehall Palace</t>
  </si>
  <si>
    <t>22 December 1754</t>
  </si>
  <si>
    <t>Lieutenant-General Willem or William Anne van Keppel, 2nd Earl of Albemarle KG KB PC 5 June 1702 – 22 December 1754 was a British soldier, diplomat and courtier.</t>
  </si>
  <si>
    <t>Middlesex, England</t>
  </si>
  <si>
    <t>9 July 1677</t>
  </si>
  <si>
    <t>Mayfair, England</t>
  </si>
  <si>
    <t>Sir William Berkeley /ˈbɑːrkliː/; 1605 – 9 July 1677 was an English colonial administrator who served as the governor of Virginia from 1660 to 1677. One of the Lords Proprietors of the Province of Carolina, as governor of Virginia he implemented policies that bred dissent among the colonists and sparked Bacon's Rebellion. A favourite of King Charles I, the king first granted him the governorship in 1642. Berkeley was unseated following the execution of Charles I, but his governorship was restored by King Charles II in 1660.</t>
  </si>
  <si>
    <t>ca. 19 March 1590</t>
  </si>
  <si>
    <t>Austerfield, West Riding of Yorkshire, England</t>
  </si>
  <si>
    <t>9 May 1657</t>
  </si>
  <si>
    <t>William Bradford c. 19 March 1590 – 9 May 1657 was an English Puritan Separatist originally from the West Riding of Yorkshire in Northern England. He moved to Leiden in Holland in order to escape persecution from King James I of England, and then emigrated to the Plymouth Colony on the Mayflower in 1620. He was a signatory to the Mayflower Compact and went on to serve as Governor of the Plymouth Colony intermittently for about 30 years between 1621 and 1657</t>
  </si>
  <si>
    <t>c. 1610</t>
  </si>
  <si>
    <t>autumn, 1674</t>
  </si>
  <si>
    <t>William Brenton c. 1610–1674 was a colonial President, Deputy Governor, and Governor of the Colony of Rhode Island and Providence Plantations, and an early settler of Portsmouth and Newport in the Rhode Island colony. Austin and other historians give his place of origin as Hammersmith in Middlesex, England now a part of London, but in reviewing the evidence, Anderson concludes that his place of origin is unknown. Brenton named one of his Newport properties "Hammersmith," and this has led some writers to assume that the like-named town in London was his place of origin.</t>
  </si>
  <si>
    <t>March 21, 1755</t>
  </si>
  <si>
    <t>William Bull 1683 – March 21, 1755 was a landowner and politician in the Province of South Carolina.</t>
  </si>
  <si>
    <t>September 24, 1710</t>
  </si>
  <si>
    <t>Charleston County, South Carolina, US</t>
  </si>
  <si>
    <t>July 4, 1791</t>
  </si>
  <si>
    <t>William Bull II September 24, 1710 – July 4, 1791 was a landowner who was for many years 1759–1775 the lieutenant governor of the province of South Carolina and served as acting governor on five occasions. A Loyalist, he left the colony in 1782 when British troops were evacuated at the end of the American Revolutionary War, and he died in London.</t>
  </si>
  <si>
    <t>March 1687</t>
  </si>
  <si>
    <t>The Hague, Netherlands</t>
  </si>
  <si>
    <t>7 September 1729</t>
  </si>
  <si>
    <t>William Burnet March 1687/88 – 7 September 1729 was a British civil servant and colonial administrator who served as governor of New York and New Jersey 1720–1728 and Massachusetts and New Hampshire 1728–1729. Born into a position of privilege his godfather became William III of England not long after his birth, and his father Gilbert Burnet was later Bishop of Salisbury, Burnet was well-educated, tutored among others by Isaac Newton.</t>
  </si>
  <si>
    <t>c. 1601</t>
  </si>
  <si>
    <t>1 November 1678</t>
  </si>
  <si>
    <t>William Coddington c. 1601 – 1 November 1678 was an early magistrate of the Massachusetts Bay Colony and later of the Colony of Rhode Island and Providence Plantations. He served as the judge of Portsmouth and Newport, governor of Portsmouth and Newport, deputy governor of the four-town colony, and then governor of the entire colony.</t>
  </si>
  <si>
    <t>18 January 1651</t>
  </si>
  <si>
    <t>5 February 1689</t>
  </si>
  <si>
    <t>William Coddington Jr. 18 January 1651 – 5 February 1689 was an early governor of the Colony of Rhode Island and Providence Plantations, serving two consecutive terms from 1683 to 1685.</t>
  </si>
  <si>
    <t>Stradbally Hall, Queen's County, Ireland</t>
  </si>
  <si>
    <t>10 March 1736</t>
  </si>
  <si>
    <t>Brigadier-General William Cosby 1690–1736 was an Irish soldier who served as the British colonial governor of New York from 1732 to 1736. During his short term, Cosby was portrayed as one of the most oppressive governors in the Thirteen Colonies. In 1735, Cosby accused publisher John Peter Zenger of sedition and libel for publishing unflattering reports about Cosby. In spite of Cosby's efforts, Zenger was acquitted of all charges and the case helped to establish the concept of freedom of the press.</t>
  </si>
  <si>
    <t>Colony of Virginia</t>
  </si>
  <si>
    <t>William Drummond born ca.1617, died January 20, 1677 was a Scottish indentured servant in Virginia who became the first colonial governor of Albemarle Sound settlement in the Province of Carolina, but alienated Virginia governor William Berkeley, became a ringleader of Bacon's Rebellion and was executed after his capture.</t>
  </si>
  <si>
    <t>about 1677</t>
  </si>
  <si>
    <t>October 10, 1761</t>
  </si>
  <si>
    <t>Boston, Province of Massachusetts Bay</t>
  </si>
  <si>
    <t>William Dummer bapt. September 29, 1677 O.S. – October 10, 1761 was a politician in the Province of Massachusetts Bay. He served as its lieutenant governor for fourteen years 1716–1730, including an extended period from 1723 to 1728 when he acted as governor.</t>
  </si>
  <si>
    <t>22 February 1730</t>
  </si>
  <si>
    <t>William Franklin FRSE 22 February 1730 – 17 November 1813 was an American-born attorney, soldier, politician, and colonial administrator. He was the acknowledged extra-marital son of Benjamin Franklin. William Franklin was the last colonial Governor of New Jersey 1763–1776, and a steadfast Loyalist throughout the American Revolutionary War.</t>
  </si>
  <si>
    <t>Farham present day Rappahannock County, Virginia</t>
  </si>
  <si>
    <t>Henrico County, Virginia</t>
  </si>
  <si>
    <t>William Glover 1653–1713 was the Acting Deputy Governor of North Carolina from 1706 to 1708.</t>
  </si>
  <si>
    <t>January 1605</t>
  </si>
  <si>
    <t>Keynsham, England</t>
  </si>
  <si>
    <t>February 1658</t>
  </si>
  <si>
    <t>William Gorges January 1605 – February 1658 was a soldier and the first colonial governor of the Province of Maine.</t>
  </si>
  <si>
    <t>16 March 1695</t>
  </si>
  <si>
    <t>23 January 1758</t>
  </si>
  <si>
    <t>William Greene Sr. 16 March 1695 – 23 January 1758 was a governor of the Colony of Rhode Island and Providence Plantations. He was a clerk of the county court in Providence, deputy from Warwick, speaker of the Rhode Island Assembly, and then deputy governor from 1740 to 1743. He became governor for the first time in 1743 and served four separate terms for a total of 11 years, and died while in office during his final term.</t>
  </si>
  <si>
    <t>baptised 14 August 1586</t>
  </si>
  <si>
    <t>Alford, Lincolnshire, England</t>
  </si>
  <si>
    <t>Portsmouth, Colony of Rhode Island Aquidneck Island</t>
  </si>
  <si>
    <t>William Hutchinson 1586–1641 was a judge chief magistrate in the Colonial era settlement at Portsmouth on the island of Aquidneck. Aquidneck Island was known at the time as Rhode Island, and it later became part of the Colony of Rhode Island and Providence Plantations.</t>
  </si>
  <si>
    <t>about March 1612</t>
  </si>
  <si>
    <t>Diddington, Huntingdonshire, England</t>
  </si>
  <si>
    <t>16 April 1683</t>
  </si>
  <si>
    <t>William Leete 1612 or 1613 – 16 April 1683 was Governor of the Colony of New Haven from 1661 to 1665 and Governor of the Colony of Connecticut from 1676 to 1683.</t>
  </si>
  <si>
    <t>12 June 1704</t>
  </si>
  <si>
    <t>William Markham 1635 – 12 June 1704 served as deputy governor of the Province of Pennsylvania. Markham was the acting governor of Pennsylvania from 1681 to 1682 and from 1693 to 1699. He was a member of the Church of England and tended to favor the interests of minority religious groups in the primarily Quaker colony.</t>
  </si>
  <si>
    <t>Yorktown, Virginia</t>
  </si>
  <si>
    <t>November 19, 1772</t>
  </si>
  <si>
    <t>William Nelson 1711 – November 19, 1772 was an American planter, politician, and colonial leader from Yorktown, Virginia. In the interim between the royal governors Norborne Berkeley and Lord Dunmore, he served as governor of colonial Virginia in 1770 and 1771.</t>
  </si>
  <si>
    <t>14 October 1644</t>
  </si>
  <si>
    <t>30 July 1718</t>
  </si>
  <si>
    <t>Ruscombe, Berkshire, England</t>
  </si>
  <si>
    <t>William Penn 24 October    1644 – 10 August   1718 was an English writer, religious thinker, and influential Quaker who founded the Province of Pennsylvania during the British colonial era. Penn was an advocate of democracy and religious freedom known for his amicable relations and successful treaties with the Lenape Native Americans who had resided in present-day Pennsylvania prior to European settlements in the state.</t>
  </si>
  <si>
    <t>February 2, 1650/51</t>
  </si>
  <si>
    <t>0/51</t>
  </si>
  <si>
    <t>Nequasset Woolwich, Maine</t>
  </si>
  <si>
    <t>February 18, 1694</t>
  </si>
  <si>
    <t>London, Kingdom of England</t>
  </si>
  <si>
    <t>Sir William Phips or Phipps; February 2, 1651 – February 18, 1695 was born in Maine in the Massachusetts Bay Colony and was of humble origin, uneducated, and fatherless from a young age but rapidly advanced from shepherd boy, to shipwright, ship's captain, and treasure hunter, the first New England native to be knighted, and the first royally appointed governor of the Province of Massachusetts Bay.</t>
  </si>
  <si>
    <t>April 30, 1694</t>
  </si>
  <si>
    <t>October 1, 1769</t>
  </si>
  <si>
    <t>William Pitkin April 30, 1694 – October 1, 1769 was a colonial governor of the Connecticut Colony.</t>
  </si>
  <si>
    <t>Bermuda</t>
  </si>
  <si>
    <t>Bahamas</t>
  </si>
  <si>
    <t>Captain William Sayle c. 1590–1671 was a prominent British landholder who was Governor of Bermuda in 1643 and again in 1658. As an Independent in religion and politics, and an adherent of Oliver Cromwell, he was dissatisfied with life in Bermuda, and so founded the company of the Eleutheran Adventurers who became the first settlers of the Bahamas between 1646 and 1648. He later became the first governor of colonial South Carolina from 1670 to 1671.</t>
  </si>
  <si>
    <t>2 December 1694</t>
  </si>
  <si>
    <t>Sussex, England</t>
  </si>
  <si>
    <t>24 March 1771</t>
  </si>
  <si>
    <t>William Shirley 2 December 1694 – 24 March 1771 was a British Army officer and colonial administrator who served as the governor of the British American colonies of Massachusetts Bay and the Bahamas. He is best known for his role in organizing the successful capture of Louisbourg during King George's War, and for his role in managing military affairs during the French and Indian War. He spent most of his years in the colonial administration of British North America working to defeat New France, but his lack of formal military training led to political difficulties and his eventual downfall.</t>
  </si>
  <si>
    <t>28 January 1671</t>
  </si>
  <si>
    <t>Isle of Wight, England</t>
  </si>
  <si>
    <t>Georgia</t>
  </si>
  <si>
    <t>William Stephens January 28, 1671 - 1753, of Bowcombe, near Newport, Isle of Wight, and later Beaulieu, Savannah, Georgia, was an English Tory politician who sat in the House of Commons from 1702 to 1727. He emigrated to Georgia and was governor of the Province of Georgia between 1743 and 1751.</t>
  </si>
  <si>
    <t>c. 1603</t>
  </si>
  <si>
    <t>Northamptonshire, England</t>
  </si>
  <si>
    <t>Charles County, Maryland</t>
  </si>
  <si>
    <t>William Stone, 3rd Proprietary Governor of Province of Maryland c. 1603 – c. 1660 was an early English settler in Maryland. He was governor of the colony of Maryland from 1649 to 1655.</t>
  </si>
  <si>
    <t>Kingdom of England or Massachusetts Bay Colony accounts differ</t>
  </si>
  <si>
    <t>July 7, 1701</t>
  </si>
  <si>
    <t>Dorchester, Suffolk County, Province of Massachusetts Bay</t>
  </si>
  <si>
    <t>William Stoughton 1631 – July 7, 1701 was a New England Puritan magistrate and administrator in the Province of Massachusetts Bay. He was in charge of what have come to be known as the Salem Witch Trials, first as the Chief Justice of the Special Court of Oyer and Terminer in 1692, and then as the Chief Justice of the Superior Court of Judicature in 1693</t>
  </si>
  <si>
    <t>February 25, 1675</t>
  </si>
  <si>
    <t>Dorchester, Suffolk County, Massachusetts Bay Colony</t>
  </si>
  <si>
    <t>March 1, 1732</t>
  </si>
  <si>
    <t>William Tailer February 25, 1675/6 – March 1, 1731/2 was a military officer and politician in the Province of Massachusetts Bay. Born into the wealthy and influential Stoughton family, he twice married into other politically powerful families. He served as lieutenant governor of the province from 1711 until 1716, and again in the early 1730s</t>
  </si>
  <si>
    <t>8 June 1729</t>
  </si>
  <si>
    <t>Norbury Park, Surrey</t>
  </si>
  <si>
    <t>27 January 1788</t>
  </si>
  <si>
    <t>Lieutenant-General William Tryon 8 June 1729 – 27 January 1788 was a British Army officer and colonial administrator who served as governor of North Carolina from 1764 to 1771 and the governor of New York from 1771 to 1777. He also served during the Seven Years' War, the Regulator Movement, and the American War of Independence.</t>
  </si>
  <si>
    <t>December 1733</t>
  </si>
  <si>
    <t>William Wanton September 15, 1670 – December 1733 was a governor of the Colony of Rhode Island and Providence Plantations, serving a short term prior to his death. He spent most of his adult life in the civil and military service of the colony and commanded a sloop for chasing privateers.</t>
  </si>
  <si>
    <t>May 22, 1606</t>
  </si>
  <si>
    <t>Nijkerk, Netherlands</t>
  </si>
  <si>
    <t>August 29, 1654</t>
  </si>
  <si>
    <t>Amsterdam, Netherlands</t>
  </si>
  <si>
    <t>Wouter van Twiller May 22, 1606 – buried August 29, 1654 was an employee of the Dutch West India Company and the fourth Director of New Netherland. He governed from 1632 until 1638, succeeding Peter Minuit, who was recalled by the Dutch West India authorities in Amsterdam for unknown reasons.</t>
  </si>
  <si>
    <t>Glen</t>
  </si>
  <si>
    <t>Logan</t>
  </si>
  <si>
    <t>Moore</t>
  </si>
  <si>
    <t>Oglethorpe</t>
  </si>
  <si>
    <t>Robertson</t>
  </si>
  <si>
    <t>Wright</t>
  </si>
  <si>
    <t>Jeffery</t>
  </si>
  <si>
    <t>Amherst</t>
  </si>
  <si>
    <t>Jeremiah</t>
  </si>
  <si>
    <t>Basse</t>
  </si>
  <si>
    <t>Jeremy</t>
  </si>
  <si>
    <t>Jesse</t>
  </si>
  <si>
    <t>Wharton</t>
  </si>
  <si>
    <t>Johan Björnsson</t>
  </si>
  <si>
    <t>Printz</t>
  </si>
  <si>
    <t>Johan</t>
  </si>
  <si>
    <t>Papegoja</t>
  </si>
  <si>
    <t>Johan Classon</t>
  </si>
  <si>
    <t>Risingh</t>
  </si>
  <si>
    <t>Anderson</t>
  </si>
  <si>
    <t>Archdale</t>
  </si>
  <si>
    <t>Berry</t>
  </si>
  <si>
    <t>Carver</t>
  </si>
  <si>
    <t>Coggeshall</t>
  </si>
  <si>
    <t>Coode</t>
  </si>
  <si>
    <t>Cranston</t>
  </si>
  <si>
    <t>Cutt</t>
  </si>
  <si>
    <t>Easton</t>
  </si>
  <si>
    <t>Endecott</t>
  </si>
  <si>
    <t>Evans</t>
  </si>
  <si>
    <t>Hart</t>
  </si>
  <si>
    <t>Harvey</t>
  </si>
  <si>
    <t>Haynes</t>
  </si>
  <si>
    <t>Jenkins</t>
  </si>
  <si>
    <t>Leverett</t>
  </si>
  <si>
    <t>Montgomerie</t>
  </si>
  <si>
    <t>Murray</t>
  </si>
  <si>
    <t>Nanfan</t>
  </si>
  <si>
    <t>Penn</t>
  </si>
  <si>
    <t>Pott</t>
  </si>
  <si>
    <t>Ratcliffe</t>
  </si>
  <si>
    <t>Reading</t>
  </si>
  <si>
    <t>Reynolds</t>
  </si>
  <si>
    <t>Sanford</t>
  </si>
  <si>
    <t>Seymour</t>
  </si>
  <si>
    <t>Smith</t>
  </si>
  <si>
    <t>Webster</t>
  </si>
  <si>
    <t>White</t>
  </si>
  <si>
    <t>Yeamans</t>
  </si>
  <si>
    <t>Jonathan</t>
  </si>
  <si>
    <t>Belcher</t>
  </si>
  <si>
    <t>Law</t>
  </si>
  <si>
    <t>Trumbull</t>
  </si>
  <si>
    <t>Joseph</t>
  </si>
  <si>
    <t>Blake</t>
  </si>
  <si>
    <t>Dudley</t>
  </si>
  <si>
    <t>Jenckes</t>
  </si>
  <si>
    <t>Morton</t>
  </si>
  <si>
    <t>Talcott</t>
  </si>
  <si>
    <t>Josiah</t>
  </si>
  <si>
    <t>Josias</t>
  </si>
  <si>
    <t>Fendall</t>
  </si>
  <si>
    <t>Lyndon</t>
  </si>
  <si>
    <t>Leonard</t>
  </si>
  <si>
    <t>Lewis</t>
  </si>
  <si>
    <t>Morris</t>
  </si>
  <si>
    <t>Lionel</t>
  </si>
  <si>
    <t>Copley</t>
  </si>
  <si>
    <t>Charles Greville</t>
  </si>
  <si>
    <t>Montagu</t>
  </si>
  <si>
    <t>William</t>
  </si>
  <si>
    <t>Matthew</t>
  </si>
  <si>
    <t>Cradock</t>
  </si>
  <si>
    <t>Scrivener</t>
  </si>
  <si>
    <t>Nathaniel</t>
  </si>
  <si>
    <t>Bacon</t>
  </si>
  <si>
    <t>Blakiston</t>
  </si>
  <si>
    <t>Johnson</t>
  </si>
  <si>
    <t>Nehemiah</t>
  </si>
  <si>
    <t>Nicholas</t>
  </si>
  <si>
    <t>Cooke</t>
  </si>
  <si>
    <t>Greenberry</t>
  </si>
  <si>
    <t>Spencer</t>
  </si>
  <si>
    <t>Norborne</t>
  </si>
  <si>
    <t>Berkeley</t>
  </si>
  <si>
    <t>Gordon</t>
  </si>
  <si>
    <t>Peleg</t>
  </si>
  <si>
    <t>Peter</t>
  </si>
  <si>
    <t>Carteret</t>
  </si>
  <si>
    <t>Peter Hollander</t>
  </si>
  <si>
    <t>Ridder</t>
  </si>
  <si>
    <t>Minuit</t>
  </si>
  <si>
    <t>Stuyvesant</t>
  </si>
  <si>
    <t>Philip</t>
  </si>
  <si>
    <t>Ludwell</t>
  </si>
  <si>
    <t>Phillip</t>
  </si>
  <si>
    <t>Pieter</t>
  </si>
  <si>
    <t>Schuyler</t>
  </si>
  <si>
    <t>Ralph</t>
  </si>
  <si>
    <t>Lane</t>
  </si>
  <si>
    <t>Bellingham</t>
  </si>
  <si>
    <t>Bennett</t>
  </si>
  <si>
    <t>Coote</t>
  </si>
  <si>
    <t>Greene</t>
  </si>
  <si>
    <t>Ingoldesby</t>
  </si>
  <si>
    <t>Kemp</t>
  </si>
  <si>
    <t>Kyrle</t>
  </si>
  <si>
    <t>Nicolls</t>
  </si>
  <si>
    <t>Vines</t>
  </si>
  <si>
    <t>Waldron</t>
  </si>
  <si>
    <t>Ward</t>
  </si>
  <si>
    <t>Robert</t>
  </si>
  <si>
    <t>Barclay</t>
  </si>
  <si>
    <t>Carter</t>
  </si>
  <si>
    <t>Daniell</t>
  </si>
  <si>
    <t>Dinwiddie</t>
  </si>
  <si>
    <t>Gibbes</t>
  </si>
  <si>
    <t>Hunter</t>
  </si>
  <si>
    <t>Bridger</t>
  </si>
  <si>
    <t>Monckton</t>
  </si>
  <si>
    <t>Quary</t>
  </si>
  <si>
    <t>Seth</t>
  </si>
  <si>
    <t>Sothell</t>
  </si>
  <si>
    <t>Treat</t>
  </si>
  <si>
    <t>Williams</t>
  </si>
  <si>
    <t>Wolcott</t>
  </si>
  <si>
    <t>Samuel</t>
  </si>
  <si>
    <t>Allen</t>
  </si>
  <si>
    <t>Argall</t>
  </si>
  <si>
    <t>Carpenter</t>
  </si>
  <si>
    <t>Gorton</t>
  </si>
  <si>
    <t>Mathews</t>
  </si>
  <si>
    <t>Ogle</t>
  </si>
  <si>
    <t>Shute</t>
  </si>
  <si>
    <t>Stephens</t>
  </si>
  <si>
    <t>Sebastiaen</t>
  </si>
  <si>
    <t>Krol</t>
  </si>
  <si>
    <t>Sothel</t>
  </si>
  <si>
    <t>Simon</t>
  </si>
  <si>
    <t>Bradstreet</t>
  </si>
  <si>
    <t>Danvers</t>
  </si>
  <si>
    <t>Osborn</t>
  </si>
  <si>
    <t>Bernard</t>
  </si>
  <si>
    <t>Thomas</t>
  </si>
  <si>
    <t>Eden</t>
  </si>
  <si>
    <t>Gooch</t>
  </si>
  <si>
    <t>Keith</t>
  </si>
  <si>
    <t>Phips</t>
  </si>
  <si>
    <t>Stephen</t>
  </si>
  <si>
    <t>Theophilus</t>
  </si>
  <si>
    <t>Eaton</t>
  </si>
  <si>
    <t>Bladen</t>
  </si>
  <si>
    <t>Boone</t>
  </si>
  <si>
    <t>Brooke</t>
  </si>
  <si>
    <t>Broughton</t>
  </si>
  <si>
    <t>Cary</t>
  </si>
  <si>
    <t>Culpeper</t>
  </si>
  <si>
    <t>Dale</t>
  </si>
  <si>
    <t>Danforth</t>
  </si>
  <si>
    <t>Dongan</t>
  </si>
  <si>
    <t>Eastchurch</t>
  </si>
  <si>
    <t>Fitch</t>
  </si>
  <si>
    <t>Gage</t>
  </si>
  <si>
    <t>Gates</t>
  </si>
  <si>
    <t>Hinckley</t>
  </si>
  <si>
    <t>Hutchinson</t>
  </si>
  <si>
    <t>Jarvis</t>
  </si>
  <si>
    <t>Lawrence</t>
  </si>
  <si>
    <t>Lee</t>
  </si>
  <si>
    <t>Miller</t>
  </si>
  <si>
    <t>Notley</t>
  </si>
  <si>
    <t>Pownall</t>
  </si>
  <si>
    <t>Prence</t>
  </si>
  <si>
    <t>Tench</t>
  </si>
  <si>
    <t>Welles</t>
  </si>
  <si>
    <t>Wiggin</t>
  </si>
  <si>
    <t>Walter</t>
  </si>
  <si>
    <t>Barefoote</t>
  </si>
  <si>
    <t>Neale</t>
  </si>
  <si>
    <t>Willem</t>
  </si>
  <si>
    <t>Kieft</t>
  </si>
  <si>
    <t>Bradford</t>
  </si>
  <si>
    <t>Brenton</t>
  </si>
  <si>
    <t>Burnet</t>
  </si>
  <si>
    <t>Coddington</t>
  </si>
  <si>
    <t>Cosby</t>
  </si>
  <si>
    <t>Drummond</t>
  </si>
  <si>
    <t>Dummer</t>
  </si>
  <si>
    <t>Franklin</t>
  </si>
  <si>
    <t>Glover</t>
  </si>
  <si>
    <t>Leete</t>
  </si>
  <si>
    <t>Markham</t>
  </si>
  <si>
    <t>Nelson</t>
  </si>
  <si>
    <t>Pitkin</t>
  </si>
  <si>
    <t>Sayle</t>
  </si>
  <si>
    <t>Shirley</t>
  </si>
  <si>
    <t>Stone</t>
  </si>
  <si>
    <t>Stoughton</t>
  </si>
  <si>
    <t>Tailer</t>
  </si>
  <si>
    <t>Tryon</t>
  </si>
  <si>
    <t>Gregory Dexter  </t>
  </si>
  <si>
    <t>Philip Freneau  </t>
  </si>
  <si>
    <t>Nicholas Hasselbach  </t>
  </si>
  <si>
    <t>Samuel Loudon  </t>
  </si>
  <si>
    <t>Solomon Southwick  </t>
  </si>
  <si>
    <t>John Peter Zenger</t>
  </si>
  <si>
    <t>Jane Aitken</t>
  </si>
  <si>
    <t>Andrew Bradford</t>
  </si>
  <si>
    <t>Mathew Carey</t>
  </si>
  <si>
    <t>Stephen Daye</t>
  </si>
  <si>
    <t>John Dunlap  </t>
  </si>
  <si>
    <t>Benjamin Edes  </t>
  </si>
  <si>
    <t>John Fenno  </t>
  </si>
  <si>
    <t>Sarah Updike Goddard  </t>
  </si>
  <si>
    <t>Mary Katherine Goddard  </t>
  </si>
  <si>
    <t>Marmaduke Johnson  </t>
  </si>
  <si>
    <t>Samuel Keimer  </t>
  </si>
  <si>
    <t>Hugh Meredith  </t>
  </si>
  <si>
    <t>William Rind  </t>
  </si>
  <si>
    <t>Clementina Rind  </t>
  </si>
  <si>
    <t>James Rivington  </t>
  </si>
  <si>
    <t>Christopher Sower III  </t>
  </si>
  <si>
    <t>Ann Timothy  </t>
  </si>
  <si>
    <t>Elizabeth Timothy  </t>
  </si>
  <si>
    <t>Peter Timothy  </t>
  </si>
  <si>
    <t>Hugh Gaine</t>
  </si>
  <si>
    <t>Jonas Green</t>
  </si>
  <si>
    <t>Benjamin Towne</t>
  </si>
  <si>
    <t>Bartholomew</t>
  </si>
  <si>
    <t>Green</t>
  </si>
  <si>
    <t>Christopher Sower</t>
  </si>
  <si>
    <t>Christopher</t>
  </si>
  <si>
    <t>Sower</t>
  </si>
  <si>
    <t>Jane</t>
  </si>
  <si>
    <t>Aitken</t>
  </si>
  <si>
    <t>Bailey</t>
  </si>
  <si>
    <t>Bell</t>
  </si>
  <si>
    <t>Mathew</t>
  </si>
  <si>
    <t>Carey</t>
  </si>
  <si>
    <t>Childs</t>
  </si>
  <si>
    <t>Davis</t>
  </si>
  <si>
    <t>Day</t>
  </si>
  <si>
    <t>Daye</t>
  </si>
  <si>
    <t>Dexter  </t>
  </si>
  <si>
    <t>Dobson</t>
  </si>
  <si>
    <t>Dunlap  </t>
  </si>
  <si>
    <t>Edes  </t>
  </si>
  <si>
    <t>Fenno  </t>
  </si>
  <si>
    <t>Fleet</t>
  </si>
  <si>
    <t>Foster</t>
  </si>
  <si>
    <t>Fowle</t>
  </si>
  <si>
    <t>Freneau  </t>
  </si>
  <si>
    <t>Gaine</t>
  </si>
  <si>
    <t>Sarah Updike</t>
  </si>
  <si>
    <t>Goddard  </t>
  </si>
  <si>
    <t>Mary Katherine</t>
  </si>
  <si>
    <t>Goddard</t>
  </si>
  <si>
    <t>Jonas</t>
  </si>
  <si>
    <t>David</t>
  </si>
  <si>
    <t>Hall</t>
  </si>
  <si>
    <t>Hasselbach  </t>
  </si>
  <si>
    <t>Haswell</t>
  </si>
  <si>
    <t>Henchman</t>
  </si>
  <si>
    <t>Holt</t>
  </si>
  <si>
    <t>Humphreys</t>
  </si>
  <si>
    <t>Marmaduke</t>
  </si>
  <si>
    <t>Johnson  </t>
  </si>
  <si>
    <t>Keimer  </t>
  </si>
  <si>
    <t>Kneeland</t>
  </si>
  <si>
    <t>Loudon  </t>
  </si>
  <si>
    <t>Meredith  </t>
  </si>
  <si>
    <t>Parks</t>
  </si>
  <si>
    <t>Pierce</t>
  </si>
  <si>
    <t>Rind  </t>
  </si>
  <si>
    <t>Clementina</t>
  </si>
  <si>
    <t>Rivington  </t>
  </si>
  <si>
    <t>Royle</t>
  </si>
  <si>
    <t>Russell</t>
  </si>
  <si>
    <t>Solomon</t>
  </si>
  <si>
    <t>Southwick  </t>
  </si>
  <si>
    <t>Strahan</t>
  </si>
  <si>
    <t>Isaiah</t>
  </si>
  <si>
    <t>Ann</t>
  </si>
  <si>
    <t>Timothy  </t>
  </si>
  <si>
    <t>Elizabeth</t>
  </si>
  <si>
    <t>Towne</t>
  </si>
  <si>
    <t>Whitemarsh</t>
  </si>
  <si>
    <t>John Peter</t>
  </si>
  <si>
    <t>Zenger</t>
  </si>
  <si>
    <t>https://en.wikipedia.org/wiki/Jane_Aitken</t>
  </si>
  <si>
    <t>https://en.wikipedia.org/wiki/Robert_Aitken_(publisher)</t>
  </si>
  <si>
    <t>https://en.wikipedia.org/wiki/Francis_Bailey_(publisher)</t>
  </si>
  <si>
    <t>https://en.wikipedia.org/wiki/Robert_Bell_(publisher)</t>
  </si>
  <si>
    <t>https://en.wikipedia.org/wiki/Andrew_Bradford</t>
  </si>
  <si>
    <t>https://en.wikipedia.org/wiki/William_Bradford_(printer,_born_1663)</t>
  </si>
  <si>
    <t>https://en.wikipedia.org/wiki/William_Bradford_(printer,_born_1719)</t>
  </si>
  <si>
    <t>https://en.wikipedia.org/wiki/John_Campbell_(editor)</t>
  </si>
  <si>
    <t>https://en.wikipedia.org/wiki/Mathew_Carey</t>
  </si>
  <si>
    <t>https://en.wikipedia.org/wiki/John_Carter_(printer)</t>
  </si>
  <si>
    <t>https://en.wikipedia.org/wiki/Francis_Childs_(printer)</t>
  </si>
  <si>
    <t>https://en.wikipedia.org/wiki/James_Davis_(printer)</t>
  </si>
  <si>
    <t>https://en.wikipedia.org/wiki/John_Day_(printer)</t>
  </si>
  <si>
    <t>https://en.wikipedia.org/wiki/Stephen_Daye</t>
  </si>
  <si>
    <t>https://en.wikipedia.org/wiki/Thomas_Dobson_(printer)</t>
  </si>
  <si>
    <t>https://en.wikipedia.org/wiki/John_Dunlap</t>
  </si>
  <si>
    <t>https://en.wikipedia.org/wiki/Benjamin_Edes</t>
  </si>
  <si>
    <t>https://en.wikipedia.org/wiki/John_Fenno</t>
  </si>
  <si>
    <t>https://en.wikipedia.org/wiki/Thomas_Fleet_(printer)</t>
  </si>
  <si>
    <t>https://en.wikipedia.org/wiki/John_Foster_(printer)</t>
  </si>
  <si>
    <t>https://en.wikipedia.org/wiki/Daniel_Fowle_(printer)</t>
  </si>
  <si>
    <t>https://en.wikipedia.org/wiki/Benjamin_Franklin</t>
  </si>
  <si>
    <t>https://en.wikipedia.org/wiki/James_Franklin_(printer)</t>
  </si>
  <si>
    <t>https://en.wikipedia.org/wiki/Philip_Freneau</t>
  </si>
  <si>
    <t>https://en.wikipedia.org/wiki/Hugh_Gaine</t>
  </si>
  <si>
    <t>https://en.wikipedia.org/wiki/Sarah_Updike_Goddard</t>
  </si>
  <si>
    <t>https://en.wikipedia.org/wiki/Mary_Katherine_Goddard</t>
  </si>
  <si>
    <t>https://en.wikipedia.org/wiki/William_Goddard_(publisher)</t>
  </si>
  <si>
    <t>https://en.wikipedia.org/wiki/Bartholomew_Green_Sr._(printer)</t>
  </si>
  <si>
    <t>https://en.wikipedia.org/wiki/Samuel_Green_(printer)</t>
  </si>
  <si>
    <t>https://en.wikipedia.org/wiki/Jonas_Green</t>
  </si>
  <si>
    <t>https://en.wikipedia.org/wiki/David_Hall_(printer)</t>
  </si>
  <si>
    <t>https://en.wikipedia.org/wiki/Nicholas_Hasselbach_(printer)</t>
  </si>
  <si>
    <t>https://en.wikipedia.org/wiki/Anthony_Haswell_(printer)</t>
  </si>
  <si>
    <t>https://en.wikipedia.org/wiki/Daniel_Henchman_(publisher)</t>
  </si>
  <si>
    <t>https://en.wikipedia.org/wiki/John_Holt_(publisher)</t>
  </si>
  <si>
    <t>https://en.wikipedia.org/wiki/James_Humphreys_(printer)</t>
  </si>
  <si>
    <t>https://en.wikipedia.org/wiki/Marmaduke_Johnson</t>
  </si>
  <si>
    <t>https://en.wikipedia.org/wiki/Samuel_Keimer</t>
  </si>
  <si>
    <t>https://en.wikipedia.org/wiki/Samuel_Kneeland_(printer)</t>
  </si>
  <si>
    <t>https://en.wikipedia.org/wiki/Samuel_Loudon</t>
  </si>
  <si>
    <t>https://en.wikipedia.org/wiki/Hugh_Meredith</t>
  </si>
  <si>
    <t>https://en.wikipedia.org/w/index.php?title=James_Parker_(publisher)&amp;action=edit&amp;redlink=1</t>
  </si>
  <si>
    <t>https://en.wikipedia.org/wiki/William_Parks_(publisher)</t>
  </si>
  <si>
    <t>https://en.wikipedia.org/wiki/Richard_Pierce_(publisher)</t>
  </si>
  <si>
    <t>https://en.wikipedia.org/wiki/Clementina_Rind</t>
  </si>
  <si>
    <t>https://en.wikipedia.org/wiki/James_Rivington</t>
  </si>
  <si>
    <t>https://en.wikipedia.org/w/index.php?title=Joseph_Royle_(publisher)&amp;action=edit&amp;redlink=1</t>
  </si>
  <si>
    <t>https://en.wikipedia.org/wiki/Benjamin_Russell_(journalist)</t>
  </si>
  <si>
    <t>https://en.wikipedia.org/wiki/Christopher_Sower_(elder)</t>
  </si>
  <si>
    <t>https://en.wikipedia.org/wiki/Christopher_Sower_(younger)</t>
  </si>
  <si>
    <t>https://en.wikipedia.org/wiki/Christopher_Sower_III</t>
  </si>
  <si>
    <t>https://en.wikipedia.org/wiki/Solomon_Southwick</t>
  </si>
  <si>
    <t>https://en.wikipedia.org/wiki/William_Strahan_(publisher)</t>
  </si>
  <si>
    <t>https://en.wikipedia.org/wiki/Isaiah_Thomas_(publisher)</t>
  </si>
  <si>
    <t>https://en.wikipedia.org/wiki/Ann_Timothy</t>
  </si>
  <si>
    <t>https://en.wikipedia.org/wiki/Elizabeth_Timothy</t>
  </si>
  <si>
    <t>https://en.wikipedia.org/wiki/Peter_Timothy</t>
  </si>
  <si>
    <t>https://en.wikipedia.org/wiki/Benjamin_Towne</t>
  </si>
  <si>
    <t>https://en.wikipedia.org/wiki/William_Williams_(printer_and_publisher)</t>
  </si>
  <si>
    <t>https://en.wikipedia.org/wiki/Thomas_Whitemarsh_(printer)</t>
  </si>
  <si>
    <t>https://en.wikipedia.org/wiki/John_Peter_Zenger</t>
  </si>
  <si>
    <t>Robert Aitken</t>
  </si>
  <si>
    <t>Francis Bailey</t>
  </si>
  <si>
    <t>Robert Bell</t>
  </si>
  <si>
    <t>John Carter</t>
  </si>
  <si>
    <t>Francis Childs</t>
  </si>
  <si>
    <t>James Davis</t>
  </si>
  <si>
    <t>John Day</t>
  </si>
  <si>
    <t>Thomas Dobson</t>
  </si>
  <si>
    <t>Thomas Fleet</t>
  </si>
  <si>
    <t>John Foster</t>
  </si>
  <si>
    <t>Daniel Fowle</t>
  </si>
  <si>
    <t>James Franklin</t>
  </si>
  <si>
    <t>William Goddard</t>
  </si>
  <si>
    <t>Bartholomew Green Sr.</t>
  </si>
  <si>
    <t>Samuel Green</t>
  </si>
  <si>
    <t>David Hall</t>
  </si>
  <si>
    <t>Anthony Haswell</t>
  </si>
  <si>
    <t>Daniel Henchman</t>
  </si>
  <si>
    <t>John Holt</t>
  </si>
  <si>
    <t>James Humphreys</t>
  </si>
  <si>
    <t>Samuel Kneeland</t>
  </si>
  <si>
    <t>James Parker</t>
  </si>
  <si>
    <t>William Parks</t>
  </si>
  <si>
    <t>Richard Pierce</t>
  </si>
  <si>
    <t>Joseph Royle</t>
  </si>
  <si>
    <t>Benjamin Russell</t>
  </si>
  <si>
    <t>William Strahan</t>
  </si>
  <si>
    <t>Isaiah Thomas</t>
  </si>
  <si>
    <t>William Williams</t>
  </si>
  <si>
    <t>Thomas Whitemarsh</t>
  </si>
  <si>
    <t>Jane Aitken 1764–1832 was an American printer and publisher known for printing Charles Thomson's translation of the Septuagint into English, as well as Rebecca Rush's novel Kelroy. She was the first printer to issue a Philadelphia census directory containing a section devoted to "persons of colour".</t>
  </si>
  <si>
    <t>22 January 1735 </t>
  </si>
  <si>
    <t>735 </t>
  </si>
  <si>
    <t>Dalkeith </t>
  </si>
  <si>
    <t>15 July 1802 </t>
  </si>
  <si>
    <t>802 </t>
  </si>
  <si>
    <t>Robert Aitken 1734–1802 was an Early American publisher and printer in Philadelphia and the first to publish an English language Bible in the newly formed United States. He was born in Dalkeith, Scotland.</t>
  </si>
  <si>
    <t>September 3, 1744</t>
  </si>
  <si>
    <t>Sadsbury Township, Pennsylvania, British America</t>
  </si>
  <si>
    <t>November 1, 1817</t>
  </si>
  <si>
    <t>Francis Bailey September 3, 1744 – November 1, 1817 was an early American printer, publisher and journalist in Pennsylvania from 1771 to 1807.</t>
  </si>
  <si>
    <t>Glasgow, Scotland,</t>
  </si>
  <si>
    <t>Robert Bell 1732–1784 was a Scottish immigrant to the British colonies in America and became one of many early American printers and publishers active during the years leading up to and through the American Revolution.</t>
  </si>
  <si>
    <t>November 24, 1742</t>
  </si>
  <si>
    <t>Andrew Bradford 1686 – November 24, 1742 was an early American printer in colonial Philadelphia. He published the first newspaper in Philadelphia, The American Weekly Mercury, beginning in 1719, as well as the first magazine in America in 1741.</t>
  </si>
  <si>
    <t>May 20, 1663</t>
  </si>
  <si>
    <t>Barwell, Leicestershire, England</t>
  </si>
  <si>
    <t>May 23, 1752</t>
  </si>
  <si>
    <t>New York City, British America</t>
  </si>
  <si>
    <t>William Bradford May 20, 1663 – May 23, 1752 was an early American colonial printer and publisher in British America. Bradford is best known for establishing the first printing press in the Middle colonies of the Thirteen Colonies, founding the first press in Pennsylvania in 1685 and the first press in New York in 1693.</t>
  </si>
  <si>
    <t>September 25, 1791</t>
  </si>
  <si>
    <t>William Bradford 1719 – September 25, 1791 was a printer, soldier, and leader during the American Revolution from Philadelphia.</t>
  </si>
  <si>
    <t>Scotland </t>
  </si>
  <si>
    <t>4 March 1728 </t>
  </si>
  <si>
    <t>728 </t>
  </si>
  <si>
    <t>Boston </t>
  </si>
  <si>
    <t>John Campbell 1653 – March 4, 1728 was an early American newspaper publisher and editor and Postmaster of Boston. He founded the first regularly published newspaper in British America, The Boston News-Letter.</t>
  </si>
  <si>
    <t>January 28, 1760</t>
  </si>
  <si>
    <t>September 16, 1839</t>
  </si>
  <si>
    <t>Mathew Carey January 28, 1760 – September 16, 1839 was an Irish-born American publisher and economist who lived and worked in Philadelphia, Pennsylvania. He was the father of economist Henry Charles Carey.</t>
  </si>
  <si>
    <t>July 21, 1745</t>
  </si>
  <si>
    <t>Philadelphia, Pennsylvania Colony, British America</t>
  </si>
  <si>
    <t>August 19, 1814</t>
  </si>
  <si>
    <t>Providence, Rhode Island, US</t>
  </si>
  <si>
    <t>John Carter July 21, 1745 – August 19, 1814 was an early American printer, newspaper publisher, and postmaster of Providence, Rhode Island. Carter entered the printing profession as an apprentice of Benjamin Franklin while living in Philadelphia. After he entered into a partnership and ran The Providence Gazette, which he eventually purchased and ran on his own up until the year of his death.</t>
  </si>
  <si>
    <t>Francis Childs 1763–1830 was an American publisher and printer of The New York Daily Advertiser, founded on Thursday, March 1, 1785, who went on to be one of the printers for the newly established United States government. Childs, together with John Swaine, both established printers in New York City, printed the laws of the United States, beginning in 1789 shortly after the Constitution was ratified.</t>
  </si>
  <si>
    <t>October 21, 1721</t>
  </si>
  <si>
    <t>New Bern, North Carolina</t>
  </si>
  <si>
    <t>James Davis October 21, 1721–1785 was an early American printer and the first printer and first postmaster of the colony of North Carolina. He was also the founder and printer of the North-Carolina Gazette, North Carolina colony's first newspaper.</t>
  </si>
  <si>
    <t>c. 1522</t>
  </si>
  <si>
    <t>23 July 1584</t>
  </si>
  <si>
    <t>John Day or Daye c. 1522 – 23 July 1584 was an English Protestant printer. He specialised in printing and distributing Protestant literature and pamphlets, and produced many small-format religious books, such as ABCs, sermons, and translations of psalms.</t>
  </si>
  <si>
    <t>c.1594</t>
  </si>
  <si>
    <t>December 22, 1668</t>
  </si>
  <si>
    <t>Sutton, Surrey London,</t>
  </si>
  <si>
    <t>Stephen Daye, Sr. c.1594 – December 22, 1668 emigrated from England to the British colony of Massachusetts and became the first printer in colonial America. He printed the Bay Psalm Book in 1640, the first book known to have been printed in the present day United States.</t>
  </si>
  <si>
    <t>Gregory Dexter 1610 – c. 1700 was a renowned printer of important and controversial books and pamphlets in London. In New England, he assumed various roles including serving as a consultant to printers, a Baptist minister, an owner of a limestone quarry, and a political figure elected as president of the combined towns of Providence and Warwick in colonial Rhode Island.</t>
  </si>
  <si>
    <t>Thomas Dobson 1751 near Edinburgh, Scotland – 1823 in Philadelphia, Pennsylvania was a master printer most famous for having published the earliest American version of the Encyclopædia Britannica, and the first in the United States to publish a complete Hebrew Bible.</t>
  </si>
  <si>
    <t>County Tyrone, Ireland</t>
  </si>
  <si>
    <t>27 November 1812</t>
  </si>
  <si>
    <t>John Dunlap 1747 – 27 November 1812 was an early American printer who emigrated from Ireland and who printed the first copies of the United States Declaration of Independence and was one of the most successful Irish/American printers of his era. He served in the Continental Army under George Washington during the American Revolutionary War.</t>
  </si>
  <si>
    <t>October 14, 1732</t>
  </si>
  <si>
    <t>Charlestown, Province of Massachusetts</t>
  </si>
  <si>
    <t>December 11, 1803</t>
  </si>
  <si>
    <t>Benjamin Edes October 15, 1732 – December 11, 1803 was an early American printer, publisher, newspaper journalist and a revolutionary advocate before and during the American Revolution. He is best known, along with John Gill, as the publisher of the Boston Gazette, a colonial newspaper which sparked and financed the Boston Tea Party and was influential during the American Revolutionary War.</t>
  </si>
  <si>
    <t>Aug. 12, 1751</t>
  </si>
  <si>
    <t>Sept. 14, 1798</t>
  </si>
  <si>
    <t>John Fenno Aug. 12, 1751 O.S. – Sept. 14, 1798 was a Federalist Party editor among early American publishers and major figure in the history of American newspapers. His Gazette of the United States played a major role in shaping the beginnings of party politics in the United States in the 1790s.</t>
  </si>
  <si>
    <t>September 8, 1685</t>
  </si>
  <si>
    <t>July 21, 1758</t>
  </si>
  <si>
    <t>Thomas Fleet 1685–1758 was an English printer who came to the British colonies in America and established himself as a printer and publisher in Boston.</t>
  </si>
  <si>
    <t>September 9, 1681</t>
  </si>
  <si>
    <t>John Foster 1648 – September 9, 1681 was an early American engraver and printer who lived in Boston in the Massachusetts Bay Colony when the colony was still in its infancy. He is credited with producing the first printed image in British colonial America, from a woodcut engraving of the Puritan minister Richard Mather.</t>
  </si>
  <si>
    <t>c. 1715</t>
  </si>
  <si>
    <t>June 1787</t>
  </si>
  <si>
    <t>Daniel Fowle c. 1715 – June 1787 was a colonial American printer and publisher before and during the American Revolution, and the founder of The New Hampshire Gazette. He printed Samuel Adams' newspaper, The Independent Advertiser. He was jailed for printing a damaging account on the conduct of various Massachusetts representatives and after his trial, he lost his license to print.</t>
  </si>
  <si>
    <t>February 4, 1697</t>
  </si>
  <si>
    <t>February 4, 1735</t>
  </si>
  <si>
    <t>Newport, Colony of Rhode Island</t>
  </si>
  <si>
    <t>James Franklin February 4, 1697 in Boston – February 4, 1735 in Newport, Rhode Island was an early American printer, publisher and author of newspapers and almanacs in the American colonies. James published the New England Courant, one of the oldest and the first truly independent American newspapers, and the short lived Rhode Island Gazette.</t>
  </si>
  <si>
    <t>January 2, 1752</t>
  </si>
  <si>
    <t>December 18, 1832</t>
  </si>
  <si>
    <t>Matawan, New Jersey</t>
  </si>
  <si>
    <t>Philip Morin Freneau January 2, 1752 – December 18, 1832 was an American poet, nationalist, polemicist, sea captain and early American newspaper editor sometimes called the "Poet of the American Revolution". Through his newspaper, the National Gazette, he was a strong critic of George Washington and a proponent of Jeffersonian policies.</t>
  </si>
  <si>
    <t>c. 1726</t>
  </si>
  <si>
    <t>County Antrim, Ireland</t>
  </si>
  <si>
    <t>April 27, 1807</t>
  </si>
  <si>
    <t>New York County, New York, U.S.</t>
  </si>
  <si>
    <t>Hugh Gaine c. 1726 – April 27, 1807 was an 18th-century early American printer, newspaper publisher and bookseller. He founded and was printer of The New York Mercury and the New York Royal Gazette. As a printer and journalist Gaine remained neutral when the idea of American independence was at issue, which became a source of trouble for him at times. Subsequently figures like Philip Freneau, a Revolutionary poet, had very little affection for Gaine, while some historians question his loyalties. During his time in New York City Gaine's printing business became the most prolific, lasting more than forty years.</t>
  </si>
  <si>
    <t>circa 1701</t>
  </si>
  <si>
    <t>Coscumcussoc, Narragansett, Colony of Rhode Island and Providence Plantations</t>
  </si>
  <si>
    <t>Philadelphia, Province of Pennsylvania</t>
  </si>
  <si>
    <t>Sarah Updike Goddard c. 1701—January 5, 1770 was an early American printer, as well as a co-founder and publisher of the Providence Gazette and Country Journal, the first newspaper founded in Providence, Rhode Island. She worked closely with her son William and daughter Mary Katherine, who both also became printers and publishers, forming one of the earliest influential publishing dynasties in the American colonies.</t>
  </si>
  <si>
    <t>June 16, 1738</t>
  </si>
  <si>
    <t>August 12, 1816</t>
  </si>
  <si>
    <t>Mary Katharine Goddard June 16, 1738 – August 12, 1816 was an early American publisher, and the postmaster of the Baltimore Post Office from 1775 to 1789. She was the older sister of William Goddard, also a publisher and printer. She was the second printer to print the Declaration of Independence. Her copy, the Goddard Broadside, was commissioned by Congress in 1777, and was the first to include the names of the signatories. In 1998, Goddard was inducted into the Maryland Women's Hall of Fame.</t>
  </si>
  <si>
    <t>October 10, 1740</t>
  </si>
  <si>
    <t>October 23, 1817</t>
  </si>
  <si>
    <t>William Goddard October 10, 1740 – December 23, 1817 was an early American patriot, publisher, printer and postal inspector. Born in New London, Connecticut, Goddard lived through the American Revolutionary era, during which he opposed British rule of the colonies through his actions and publications. He was a major figure in the development of the colonial postal system, which became the U.S. Post Office after the American Revolution.</t>
  </si>
  <si>
    <t>October 12, 1666</t>
  </si>
  <si>
    <t>December 28, 1732</t>
  </si>
  <si>
    <t>Bartholomew Green October 12, 1666 – December 28, 1732 was a colonial printer at Boston and later the publisher of The Boston News-Letter. He was born in Cambridge, Massachusetts.</t>
  </si>
  <si>
    <t>January 1, 1702</t>
  </si>
  <si>
    <t>Samuel Green 1615 – January 1, 1702 was an early American printer, the first of several printers from the Green family who followed in his footsteps. One of Green's major accomplishments as a printer was the Eliot Indian Bible, translated by the missionary John Eliot, which became the first Bible to be printed in British America in 1663</t>
  </si>
  <si>
    <t>Jonas Green died 1767 was a colonial American printer and newspaper publisher together with his wife Anne Catherine Hoof Green in Maryland. He was a strong opponent of The Stamp Act.</t>
  </si>
  <si>
    <t>Westfield, Scotland</t>
  </si>
  <si>
    <t>December 24, 1772</t>
  </si>
  <si>
    <t>Philadelphia Pennsylvania</t>
  </si>
  <si>
    <t>David Hall 1714 – December 24, 1772 was a British printer who immigrated from Scotland to America and became an early American printer, publisher and business partner with Benjamin Franklin in Philadelphia. He eventually took over Franklin's printing business of producing official documents for the colonial province of Pennsylvania and that of publishing The Pennsylvania Gazette newspaper that Franklin had acquired in 1729.</t>
  </si>
  <si>
    <t>Nicholas Hasselbach c. 1728 – 1769 was a German-American printer, part of a mass migration from Germany who emigrated to Philadelphia in the mid-18th century. He operated a paper mill near Philadelphia, after which he removed to Baltimore, Maryland, where he established that city's first printing press. He was one of the few German speaking printers who that wanted to print religious literature in German. Hasselbach died unexpectedly as a relatively young man, leaving only one known example of his printing, a small book, now owned by a private collector.</t>
  </si>
  <si>
    <t>6 April 1756</t>
  </si>
  <si>
    <t>Portsmouth, England</t>
  </si>
  <si>
    <t>26 May 1816</t>
  </si>
  <si>
    <t>Bennington, Vermont</t>
  </si>
  <si>
    <t>Anthony Haswell 6 April 1756 – 26 May 1816 was an English immigrant to New England, where he became a newspaper, almanac, and book publisher, the Postmaster General of Vermont and one of the Jeffersonian printers imprisoned under the Sedition Act of 1798.</t>
  </si>
  <si>
    <t>January 21, 1689</t>
  </si>
  <si>
    <t>February 25, 1761</t>
  </si>
  <si>
    <t>Daniel Henchman January 21, 1689 – February 25, 1761 was a renowned American publisher and bookseller in 18th-century colonial Boston. Aside from his mainstay of publishing, printing, and bookselling, he was involved in a variety of mercantile pursuits. He was also very involved in Boston's civic matters and gave generously to the poor fund through his church. He was also an officer in the Boston militia regiment. Primarily through Henchman's efforts, the first paper mill to appear in New England was built in Massachusetts. Some historians consider Henchman to be the most prominent publisher and bookseller in pre-Revolutionary New England.</t>
  </si>
  <si>
    <t>Williamsburg, Virginia, British America</t>
  </si>
  <si>
    <t>January 30, 1784</t>
  </si>
  <si>
    <t>John Holt 1721—1784 was a colonial American newspaper publisher, printer, postmaster, and mayor of Williamsburg, Virginia, United States. He was involved with publishing the Connecticut Gazette, the New York Gazette, and the New-York Journal newspapers. He worked with Benjamin Franklin, the prominent publisher James Parker, and Founding Father Samuel Adams.</t>
  </si>
  <si>
    <t>January 15, 1748</t>
  </si>
  <si>
    <t>February 2, 1810</t>
  </si>
  <si>
    <t>James Humphreys January 15, 1748 – February 2, 1810 was a printer, publisher, merchant and politician in Nova Scotia and Pennsylvania. He represented Shelburne County in the Nova Scotia House of Assembly from 1793 to 1796.</t>
  </si>
  <si>
    <t>Rothwell, West Riding of Yorkshire, England</t>
  </si>
  <si>
    <t>December 25, 1674</t>
  </si>
  <si>
    <t>Marmaduke Johnson 1628 – December 25, 1674 was a London printer who was commissioned and sailed from England to Massachusetts Bay Colony in 1660 to assist Samuel Green in the printing of The Indian Bible, which had been laboriously translated by John Eliot into the Massachusett Indian language, which became the first Bible printed in America.</t>
  </si>
  <si>
    <t>London Borough of Southwark, England</t>
  </si>
  <si>
    <t>Samuel Keimer 1689–1742 was originally an English printer and emigrant who came to America and became an Early American printer. He was the original founder of The Pennsylvania Gazette. On October 2, 1729, Benjamin Franklin bought this newspaper.</t>
  </si>
  <si>
    <t>c.1696</t>
  </si>
  <si>
    <t>Samuel Kneeland c.1696–1769 was an American printer and publisher of The Boston Gazette and Weekly Journal. Kneeland obtained much of his work printing laws and other official documents for the Province of Massachusetts Bay colonial government for about two decades. He printed the first Bible in the English language ever produced in the American colonies, along with many other religious and spiritual works, including the Book of Psalms.</t>
  </si>
  <si>
    <t>Ireland or Scotland</t>
  </si>
  <si>
    <t>Middletown Township, New Jersey, US</t>
  </si>
  <si>
    <t>Samuel Loudon 1727–1813 was a colonial American printer, publisher and merchant who emigrated from Ireland some time prior to 1753. Loudon founded The New-York Packet and The American Advertiser and became the postmaster at New York State's first post office in Fishkill, New York. During the American Revolution he became the official printer of New York State and printed its first Constitution, laws, acts and other official documents, while also taking on some private commissions.</t>
  </si>
  <si>
    <t>c. 1697</t>
  </si>
  <si>
    <t>c. 1749</t>
  </si>
  <si>
    <t>Hugh Meredith c. 1697 - c. 1749 was a farmer and printer in the American colonies, who briefly had a partnership with Benjamin Franklin as publishers of the Pennsylvania Gazette.</t>
  </si>
  <si>
    <t>July 2, 1770</t>
  </si>
  <si>
    <t>in Woodbridge Township, New Jersey.</t>
  </si>
  <si>
    <t>Parker was in journalism in the colonies of New Jersey, New York, and Connecticut. He had several printing businesses in his lifetime. Parker not only published newspapers and official government documents, but also published magazines, poetry, fiction, history, science, almanacs, and religious material. He was also a printer for Yale College in Connecticut in the mid-eighteenth century.</t>
  </si>
  <si>
    <t>May 23, 1699</t>
  </si>
  <si>
    <t>Shropshire, England</t>
  </si>
  <si>
    <t>April 1, 1750</t>
  </si>
  <si>
    <t>William Parks May 23, 1699 – April 1, 1750 was an 18th-century printer and journalist in England and Colonial America. He was the first printer in Maryland authorized as the official printer for the colonial government. He published the first newspaper in the Southern American colonies, the Maryland Gazette.</t>
  </si>
  <si>
    <t>Richard Pierce died c. 1691 was an early American printing press owner and publisher who printed Publick Occurrences Both Forreign and Domestick for Benjamin Harris, generally considered the first newspaper printed in America.</t>
  </si>
  <si>
    <t>Dec. 24 1733</t>
  </si>
  <si>
    <t>Aug. 19 1773</t>
  </si>
  <si>
    <t>Anne Arundel County, Maryland</t>
  </si>
  <si>
    <t>Printer, Publisher Williamsburg Proprietor of the first political press established in Virginia 1766-73 and so publisher of the second Virginia Gazette in Williamsburg; husband of Clementina Rind</t>
  </si>
  <si>
    <t>ca. 1740</t>
  </si>
  <si>
    <t>September 25, 1774</t>
  </si>
  <si>
    <t>Williamsburg, Va.</t>
  </si>
  <si>
    <t>Clementina Rind c. 1740–September 25, 1774 was a Colonial American woman who is known as being the first female newspaper printer and publisher in Virginia. Living and working in Williamsburg, Virginia, she took the printing press established by her husband, William Rind, after his death in 1773. Clementina continued to print The Virginia Gazette and also published Thomas Jefferson's tract A Summary View of the Rights of British America.</t>
  </si>
  <si>
    <t>July 4, 1802</t>
  </si>
  <si>
    <t>James Rivington 1724 – July 4, 1802 was an English-born American journalist who published a Loyalist newspaper in the American colonies called Rivington's Gazette. He was driven out of New York by the Sons of Liberty, but was very likely a member of the American Culper Spy Ring, which provided the Continental Army with military intelligence from British-occupied New York.</t>
  </si>
  <si>
    <t>January 26, 1766</t>
  </si>
  <si>
    <t>Williamsburg</t>
  </si>
  <si>
    <t>Publisher of the Virginia Gazette</t>
  </si>
  <si>
    <t>September 13, 1761</t>
  </si>
  <si>
    <t>January 4, 1845</t>
  </si>
  <si>
    <t>Benjamin Russell September 13, 1761 – January 4, 1845 was an American journalist, born in Boston. He established the Columbian Centinel and was one of the founding members of the American Antiquarian Society.</t>
  </si>
  <si>
    <t>1695 </t>
  </si>
  <si>
    <t>695 </t>
  </si>
  <si>
    <t>September 25, 1758</t>
  </si>
  <si>
    <t>Ladenburg</t>
  </si>
  <si>
    <t>Christoph Sauer 1695 – September 25, 1758 was the first German-language printer and publisher in North America.</t>
  </si>
  <si>
    <t>20 September 1721</t>
  </si>
  <si>
    <t>Laasphe</t>
  </si>
  <si>
    <t>4 August 1784</t>
  </si>
  <si>
    <t>Methacton, Pennsylvania</t>
  </si>
  <si>
    <t>Christopher Sower 20 September 1721 in Laasphe, near Marburg, Germany – 4 August 1784 in Methacton, Pennsylvania was a clergyman and printer.</t>
  </si>
  <si>
    <t>27 January 1754</t>
  </si>
  <si>
    <t>3 July 1799</t>
  </si>
  <si>
    <t>Baltimore, Maryland</t>
  </si>
  <si>
    <t>Christopher Sower 27 January 1754 in Germantown, Pennsylvania – 3 July 1799 in Baltimore, Maryland was a printer and publisher in Pennsylvania.</t>
  </si>
  <si>
    <t>December 25, 1773</t>
  </si>
  <si>
    <t>Newport, Rhode Island, British America</t>
  </si>
  <si>
    <t>November 18, 1839</t>
  </si>
  <si>
    <t>Solomon Southwick December 25, 1773 – November 18, 1839 was an American newspaper publisher and political figure who was a principal organizer of the Anti-Masonic Party.</t>
  </si>
  <si>
    <t>24 March 1715</t>
  </si>
  <si>
    <t>9 July 1785</t>
  </si>
  <si>
    <t>Edinburgh</t>
  </si>
  <si>
    <t>William Strahan 24 March 1715 – 9 July 1785 was a Scottish printer and publisher, and a politician who sat in the House of Commons between from 1774 to 1784. He was a correspondent and later a good friend of Benjamin Franklin.</t>
  </si>
  <si>
    <t>January 19, 1749</t>
  </si>
  <si>
    <t>Boston, Massachusetts, US</t>
  </si>
  <si>
    <t>April 4, 1831</t>
  </si>
  <si>
    <t>Isaiah Thomas January 19, 1749 – April 4, 1831 was an early American printer, newspaper publisher and author. He performed the first public reading of the Declaration of Independence in Worcester, Massachusetts, and reported the first account of the Battles of Lexington and Concord. He was the founder of the American Antiquarian Society.</t>
  </si>
  <si>
    <t>circa 1727</t>
  </si>
  <si>
    <t>September 11, 1792</t>
  </si>
  <si>
    <t>Charleston, South Carolina, US</t>
  </si>
  <si>
    <t>Ann Timothy ca. 1727–September 11, 1792 was a newspaper publisher from South Carolina. She worked alongside her husband until his death in 1782, and after she had published by herself for years, she became the official printer for the state of South Carolina.</t>
  </si>
  <si>
    <t>Elizabeth Timothy ?–1757 was the first female newspaper publisher in America.</t>
  </si>
  <si>
    <t>Peter Timothy 1724–1782, originally named Peter Timothee, was an 18th-century Dutch-American printer and politician.</t>
  </si>
  <si>
    <t>Towne opened a printing house of his own in 1774 and published the first issue of the Pennsylvania Evening Post, a tri-weekly, on January 24, 1775. This was the first evening newspaper printed in Philadelphia and the only newspaper that continued to be published in that city through the Revolutionary War.</t>
  </si>
  <si>
    <t>10 May 1691</t>
  </si>
  <si>
    <t>born in Topsfield, Essex, Massachusetts</t>
  </si>
  <si>
    <t>11 Feb 1772</t>
  </si>
  <si>
    <t>died in Topsfield</t>
  </si>
  <si>
    <t>October 12, 1787</t>
  </si>
  <si>
    <t>Framingham, Massachusetts, U.S.</t>
  </si>
  <si>
    <t>June 10, 1850</t>
  </si>
  <si>
    <t>Utica, New York, U.S.</t>
  </si>
  <si>
    <t>William Williams October 12, 1787 – June 10, 1850 was an American printer, publisher and bookseller, originally from Massachusetts</t>
  </si>
  <si>
    <t>Thomas Whitemarsh (? - 1733), sometimes spelled as Whitmarsh,[1] was a printer who printed and introduced the first newspaper to the colony of South Carolina on January 8, 1731, </t>
  </si>
  <si>
    <t>October 26, 1697</t>
  </si>
  <si>
    <t>July 28, 1746</t>
  </si>
  <si>
    <t>New York, Province of New York</t>
  </si>
  <si>
    <t>John Peter Zenger October 26, 1697 – July 28, 1746 was a German printer and journalist in New York City. Zenger printed The New York Weekly Journal. He was accused of libel in 1734 by William Cosby, the royal governor of New York, but the jury acquitted Zenger, who became a symbol for freedom of the press.</t>
  </si>
  <si>
    <t>August 12, 1769</t>
  </si>
  <si>
    <t>September 10, 1798</t>
  </si>
  <si>
    <t>Benjamin Franklin Bache August 12, 1769 – September 10, 1798 was an American journalist, printer and publisher. He founded the Philadelphia Aurora, a newspaper that supported Jeffersonian philosophy. He frequently attacked the Federalist political leaders, including Presidents George Washington and John Adams</t>
  </si>
  <si>
    <t>Benjamin Franklin Bache</t>
  </si>
  <si>
    <t>https://en.wikipedia.org/wiki/Benjamin_Franklin_Bache</t>
  </si>
  <si>
    <t xml:space="preserve">Benjamin </t>
  </si>
  <si>
    <t>Bache</t>
  </si>
  <si>
    <t>Abraham Baldwin </t>
  </si>
  <si>
    <t>https://en.wikipedia.org/wiki/Abraham_Baldwin</t>
  </si>
  <si>
    <t>Abraham Clark</t>
  </si>
  <si>
    <t>https://en.wikipedia.org/wiki/Abraham_Clark</t>
  </si>
  <si>
    <t>https://en.wikipedia.org/w/index.php?title=Albrecht_von_Horn&amp;action=edit&amp;redlink=</t>
  </si>
  <si>
    <t>Alexander Hamilton </t>
  </si>
  <si>
    <t>https://en.wikipedia.org/wiki/Alexander_Hamilton</t>
  </si>
  <si>
    <t>https://en.wikipedia.org/wiki/Arthur_Middleton</t>
  </si>
  <si>
    <t>Benjamin Franklin</t>
  </si>
  <si>
    <t>Benjamin Harrison</t>
  </si>
  <si>
    <t>https://en.wikipedia.org/wiki/Benjamin_Harrison_V</t>
  </si>
  <si>
    <t>Benjamin Rush</t>
  </si>
  <si>
    <t>https://en.wikipedia.org/wiki/Benjamin_Rush</t>
  </si>
  <si>
    <t>Button Gwinnett</t>
  </si>
  <si>
    <t>https://en.wikipedia.org/wiki/Button_Gwinnett</t>
  </si>
  <si>
    <t>Caesar Rodney</t>
  </si>
  <si>
    <t>https://en.wikipedia.org/wiki/Caesar_Rodney</t>
  </si>
  <si>
    <t>Carter Braxton</t>
  </si>
  <si>
    <t>https://en.wikipedia.org/wiki/Carter_Braxton</t>
  </si>
  <si>
    <t>Charles Cotesworth Pinckney </t>
  </si>
  <si>
    <t>https://en.wikipedia.org/wiki/Charles_Carroll_of_Carrollton</t>
  </si>
  <si>
    <t>Charles of Carrollton Carroll</t>
  </si>
  <si>
    <t>https://en.wikipedia.org/wiki/Charles_Cotesworth_Pinckney</t>
  </si>
  <si>
    <t>Charles Pinckney </t>
  </si>
  <si>
    <t>https://en.wikipedia.org/wiki/Charles_Pinckney_(governor)</t>
  </si>
  <si>
    <t>Charles Thomson</t>
  </si>
  <si>
    <t>https://en.wikipedia.org/wiki/Charles_Thomson</t>
  </si>
  <si>
    <t>https://en.wikipedia.org/w/index.php?title=Claude-Anne_de_Rouvroy_de_Saint_Simon&amp;action=edit&amp;redlink=</t>
  </si>
  <si>
    <t>Daniel Carroll </t>
  </si>
  <si>
    <t>https://en.wikipedia.org/wiki/Daniel_Carroll</t>
  </si>
  <si>
    <t>Daniel of St. Thomas Jenifer </t>
  </si>
  <si>
    <t>https://en.wikipedia.org/wiki/Daniel_of_St._Thomas_Jenifer</t>
  </si>
  <si>
    <t>David Brearly </t>
  </si>
  <si>
    <t>https://en.wikipedia.org/wiki/David_Brearley</t>
  </si>
  <si>
    <t>Edward Rutledge</t>
  </si>
  <si>
    <t>https://en.wikipedia.org/wiki/Edward_Rutledge</t>
  </si>
  <si>
    <t>Elbridge Gerry</t>
  </si>
  <si>
    <t>https://en.wikipedia.org/wiki/Elbridge_Gerry</t>
  </si>
  <si>
    <t>Francis Hopkinson</t>
  </si>
  <si>
    <t>https://en.wikipedia.org/wiki/Francis_Hopkinson</t>
  </si>
  <si>
    <t>Francis Lewis</t>
  </si>
  <si>
    <t>https://en.wikipedia.org/wiki/Francis_Lewis</t>
  </si>
  <si>
    <t>Francis Lightfoot Lee</t>
  </si>
  <si>
    <t>https://en.wikipedia.org/wiki/Francis_Lightfoot_Lee</t>
  </si>
  <si>
    <t>George Clymer</t>
  </si>
  <si>
    <t>https://en.wikipedia.org/wiki/George_Clymer</t>
  </si>
  <si>
    <t>George Read</t>
  </si>
  <si>
    <t>https://en.wikipedia.org/wiki/George_Read_(signer)</t>
  </si>
  <si>
    <t>George Ross</t>
  </si>
  <si>
    <t>https://en.wikipedia.org/wiki/George_Ross_(delegate)</t>
  </si>
  <si>
    <t>George Taylor</t>
  </si>
  <si>
    <t>https://en.wikipedia.org/wiki/George_Taylor_(Pennsylvania_politician)</t>
  </si>
  <si>
    <t>George Walton</t>
  </si>
  <si>
    <t>https://en.wikipedia.org/wiki/George_Walton</t>
  </si>
  <si>
    <t>George Washington </t>
  </si>
  <si>
    <t>https://en.wikipedia.org/wiki/George_Washington</t>
  </si>
  <si>
    <t>George Wythe</t>
  </si>
  <si>
    <t>https://en.wikipedia.org/wiki/George_Wythe</t>
  </si>
  <si>
    <t>Gouverneur Morris </t>
  </si>
  <si>
    <t>https://en.wikipedia.org/wiki/Gouverneur_Morris</t>
  </si>
  <si>
    <t>Gunning Bedford Jr. </t>
  </si>
  <si>
    <t>https://en.wikipedia.org/wiki/Gunning_Bedford_Jr.</t>
  </si>
  <si>
    <t>https://en.wikipedia.org/w/index.php?title=Heinrich_Bernhard_von_Sydow&amp;action=edit&amp;redlink=</t>
  </si>
  <si>
    <t>Hugh Williamson </t>
  </si>
  <si>
    <t>https://en.wikipedia.org/wiki/Hugh_Williamson</t>
  </si>
  <si>
    <t>Jacob Broom </t>
  </si>
  <si>
    <t>https://en.wikipedia.org/wiki/Jacob_Broom</t>
  </si>
  <si>
    <t>James Madison </t>
  </si>
  <si>
    <t>https://en.wikipedia.org/wiki/James_Madison</t>
  </si>
  <si>
    <t>James McHenry </t>
  </si>
  <si>
    <t>https://en.wikipedia.org/wiki/James_McHenry</t>
  </si>
  <si>
    <t>James Smith</t>
  </si>
  <si>
    <t>https://en.wikipedia.org/wiki/James_Smith_(delegate)</t>
  </si>
  <si>
    <t>James Wilson</t>
  </si>
  <si>
    <t>https://en.wikipedia.org/wiki/James_Wilson_(Founding_Father)</t>
  </si>
  <si>
    <t>Jared Ingersoll </t>
  </si>
  <si>
    <t>https://en.wikipedia.org/wiki/Jared_Ingersoll</t>
  </si>
  <si>
    <t>https://en.wikipedia.org/w/index.php?title=Johann_von_Hanxleden&amp;action=edit&amp;redlink=</t>
  </si>
  <si>
    <t>https://en.wikipedia.org/w/index.php?title=Johann_von_Rauschenplatt&amp;action=edit&amp;redlink=</t>
  </si>
  <si>
    <t>John Adams</t>
  </si>
  <si>
    <t>https://en.wikipedia.org/wiki/John_Adams</t>
  </si>
  <si>
    <t>John Blair </t>
  </si>
  <si>
    <t>https://en.wikipedia.org/wiki/John_Blair_Jr.</t>
  </si>
  <si>
    <t>John Dickinson </t>
  </si>
  <si>
    <t>https://en.wikipedia.org/wiki/John_Dickinson_(delegate)</t>
  </si>
  <si>
    <t>https://en.wikipedia.org/w/index.php?title=John_Greaton&amp;action=edit&amp;redlink=</t>
  </si>
  <si>
    <t>John Hancock</t>
  </si>
  <si>
    <t>https://en.wikipedia.org/wiki/John_Hancock</t>
  </si>
  <si>
    <t>https://en.wikipedia.org/wiki/John_Hart_(New_Jersey_politician)</t>
  </si>
  <si>
    <t>John Langdon </t>
  </si>
  <si>
    <t>https://en.wikipedia.org/wiki/John_Langdon_(politician)</t>
  </si>
  <si>
    <t>John Morton</t>
  </si>
  <si>
    <t>https://en.wikipedia.org/wiki/John_Morton_(American_politician)</t>
  </si>
  <si>
    <t>https://en.wikipedia.org/wiki/John_Penn_(Continental_Congress)</t>
  </si>
  <si>
    <t>https://en.wikipedia.org/w/index.php?title=John_Philip_De_Haas&amp;action=edit&amp;redlink=</t>
  </si>
  <si>
    <t>John Rutledge </t>
  </si>
  <si>
    <t>https://en.wikipedia.org/wiki/John_Rutledge</t>
  </si>
  <si>
    <t>John Witherspoon</t>
  </si>
  <si>
    <t>https://en.wikipedia.org/wiki/John_Witherspoon</t>
  </si>
  <si>
    <t>Jonathan Dayton </t>
  </si>
  <si>
    <t>https://en.wikipedia.org/wiki/Jonathan_Dayton</t>
  </si>
  <si>
    <t>Jonathan Warner</t>
  </si>
  <si>
    <t>Joseph Hewes</t>
  </si>
  <si>
    <t>https://en.wikipedia.org/wiki/Joseph_Hewes</t>
  </si>
  <si>
    <t>Josiah Bartlett</t>
  </si>
  <si>
    <t>https://en.wikipedia.org/wiki/Josiah_Bartlett</t>
  </si>
  <si>
    <t>https://en.wikipedia.org/w/index.php?title=Juan_Manuel_Cagigal_y_Monserrat&amp;action=edit&amp;redlink=</t>
  </si>
  <si>
    <t>https://en.wikipedia.org/wiki/Lewis_Morris</t>
  </si>
  <si>
    <t>Lyman Hall</t>
  </si>
  <si>
    <t>https://en.wikipedia.org/wiki/Lyman_Hall</t>
  </si>
  <si>
    <t>Matthew Thornton</t>
  </si>
  <si>
    <t>https://en.wikipedia.org/wiki/Matthew_Thornton</t>
  </si>
  <si>
    <t>Nathanial Gorham </t>
  </si>
  <si>
    <t>https://en.wikipedia.org/wiki/Nathaniel_Gorham</t>
  </si>
  <si>
    <t>Nicholas Gilman </t>
  </si>
  <si>
    <t>https://en.wikipedia.org/wiki/Nicholas_Gilman</t>
  </si>
  <si>
    <t>Oliver Wolcott</t>
  </si>
  <si>
    <t>https://en.wikipedia.org/wiki/Oliver_Wolcott</t>
  </si>
  <si>
    <t>Philip Livingston</t>
  </si>
  <si>
    <t>https://en.wikipedia.org/wiki/Philip_Livingston</t>
  </si>
  <si>
    <t>Pierce Butler </t>
  </si>
  <si>
    <t>https://en.wikipedia.org/wiki/Pierce_Butler_(American_politician)</t>
  </si>
  <si>
    <t>https://en.wikipedia.org/w/index.php?title=Reynier_van_Vlissingen&amp;action=edit&amp;redlink=</t>
  </si>
  <si>
    <t>Richard Bassett </t>
  </si>
  <si>
    <t>https://en.wikipedia.org/wiki/Richard_Bassett_(Delaware_politician)</t>
  </si>
  <si>
    <t>Richard Dobbs Spaight Sr. </t>
  </si>
  <si>
    <t>https://en.wikipedia.org/wiki/Richard_Dobbs_Spaight</t>
  </si>
  <si>
    <t>Richard Henry Lee</t>
  </si>
  <si>
    <t>https://en.wikipedia.org/wiki/Richard_Henry_Lee</t>
  </si>
  <si>
    <t>Richard Stockton</t>
  </si>
  <si>
    <t>https://en.wikipedia.org/wiki/Richard_Stockton_(Continental_Congressman)</t>
  </si>
  <si>
    <t>Robert Morris</t>
  </si>
  <si>
    <t>https://en.wikipedia.org/wiki/Robert_Morris_(financier)</t>
  </si>
  <si>
    <t>Robert Treat Paine</t>
  </si>
  <si>
    <t>https://en.wikipedia.org/wiki/Robert_Treat_Paine</t>
  </si>
  <si>
    <t>Roger Sherman</t>
  </si>
  <si>
    <t>https://en.wikipedia.org/wiki/Roger_Sherman</t>
  </si>
  <si>
    <t>Rufus King </t>
  </si>
  <si>
    <t>https://en.wikipedia.org/wiki/Rufus_King</t>
  </si>
  <si>
    <t>Samuel Adams</t>
  </si>
  <si>
    <t>https://en.wikipedia.org/wiki/Samuel_Adams</t>
  </si>
  <si>
    <t>Samuel Chase</t>
  </si>
  <si>
    <t>https://en.wikipedia.org/wiki/Samuel_Chase</t>
  </si>
  <si>
    <t>Samuel Huntington</t>
  </si>
  <si>
    <t>https://en.wikipedia.org/wiki/Samuel_Huntington_(statesman)</t>
  </si>
  <si>
    <t>Thomas Fitzsimons </t>
  </si>
  <si>
    <t>https://en.wikipedia.org/wiki/Thomas_FitzSimons</t>
  </si>
  <si>
    <t>Thomas Heyward Jr.</t>
  </si>
  <si>
    <t>https://en.wikipedia.org/wiki/Thomas_Heyward,_Jr.</t>
  </si>
  <si>
    <t>Thomas Jefferson</t>
  </si>
  <si>
    <t>https://en.wikipedia.org/wiki/Thomas_Jefferson</t>
  </si>
  <si>
    <t>Thomas Lynch Jr.</t>
  </si>
  <si>
    <t>https://en.wikipedia.org/wiki/Thomas_Lynch,_Jr.</t>
  </si>
  <si>
    <t>Thomas McKean</t>
  </si>
  <si>
    <t>https://en.wikipedia.org/wiki/Thomas_McKean</t>
  </si>
  <si>
    <t>Thomas Mifflin </t>
  </si>
  <si>
    <t>Thomas Nelson Jr.</t>
  </si>
  <si>
    <t>https://en.wikipedia.org/wiki/Thomas_Nelson,_Jr.</t>
  </si>
  <si>
    <t>Thomas Stone</t>
  </si>
  <si>
    <t>https://en.wikipedia.org/wiki/Thomas_Stone</t>
  </si>
  <si>
    <t>https://en.wikipedia.org/w/index.php?title=Wilhelm_von_Gall&amp;action=edit&amp;redlink=</t>
  </si>
  <si>
    <t>William Blount </t>
  </si>
  <si>
    <t>https://en.wikipedia.org/wiki/William_Blount</t>
  </si>
  <si>
    <t>William Ellery</t>
  </si>
  <si>
    <t>https://en.wikipedia.org/wiki/William_Ellery</t>
  </si>
  <si>
    <t>William Few </t>
  </si>
  <si>
    <t>https://en.wikipedia.org/wiki/William_Few</t>
  </si>
  <si>
    <t>William Floyd</t>
  </si>
  <si>
    <t>https://en.wikipedia.org/wiki/William_Floyd</t>
  </si>
  <si>
    <t>William Hooper</t>
  </si>
  <si>
    <t>https://en.wikipedia.org/wiki/William_Hooper</t>
  </si>
  <si>
    <t>William Livingston  </t>
  </si>
  <si>
    <t>https://en.wikipedia.org/wiki/William_Livingston</t>
  </si>
  <si>
    <t>William Paca</t>
  </si>
  <si>
    <t>https://en.wikipedia.org/wiki/William_Paca</t>
  </si>
  <si>
    <t>William Paterson </t>
  </si>
  <si>
    <t>https://en.wikipedia.org/wiki/William_Paterson_(judge)</t>
  </si>
  <si>
    <t>https://en.wikipedia.org/w/index.php?title=William_Picton&amp;action=edit&amp;redlink=</t>
  </si>
  <si>
    <t>William Samuel Johnson </t>
  </si>
  <si>
    <t>https://en.wikipedia.org/wiki/William_Samuel_Johnson</t>
  </si>
  <si>
    <t>https://en.wikipedia.org/wiki/William_Williams_(signer)</t>
  </si>
  <si>
    <t>Abraham Baldwin November 22, 1754 – March 4, 1807 was an American minister, patriot, politician, and Founding Father who signed the United States Constitution. Born and raised in Connecticut, he was a 1772 graduate of Yale College. After the Revolutionary War, Baldwin became a lawyer. He moved to the U.S. state of Georgia in the mid-1780s and founded the University of Georgia. Baldwin was a member of Society of the Cincinnati.</t>
  </si>
  <si>
    <t>Abraham Clark February 15, 1726 – September 15, 1794 was an American Founding Father, politician, and Revolutionary War figure. Clark was a delegate for New Jersey to the Continental Congress where he signed the Declaration of Independence and later served in the United States House of Representatives in both the Second and Third United States Congress, from March 4, 1791, until his death in 1794.</t>
  </si>
  <si>
    <t>Alexander Hamilton January 11, 1755 or 1757 – July 12, 1804 was a Nevis-born American military officer, statesman, and Founding Father who served as the first Secretary of Treasury from 1789 to 1795 during George Washington's presidency.</t>
  </si>
  <si>
    <t>John Alexander Lillington c. 1725 – 1786, also known as Alexander John Lillington, was an American planter, politician and Patriot officer from North Carolina in the American Revolutionary War.</t>
  </si>
  <si>
    <t>Arthur Middleton June 26, 1742 – January 1, 1787 was a Founding Father of the United States, signer of the United States Declaration of Independence, and a representative from South Carolina in the Second Continental Congress. While a member of Congress, he helped frame the Articles of Confederation, but resigned his seat before signing.</t>
  </si>
  <si>
    <t>Benjamin Franklin FRS FRSA FRSE January 17, 1706  – April 17, 1790 was an American polymath who was active as a writer, scientist, inventor, statesman, diplomat, printer, publisher, and political philosopher. Among the leading intellectuals of his time, Franklin was one of the Founding Fathers of the United States, a drafter and signer of the Declaration of Independence, and the first Postmaster General.</t>
  </si>
  <si>
    <t>Benjamin Harrison V April 5, 1726 – April 24, 1791 was an American planter, merchant, and politician who served as a legislator in colonial Virginia, following his namesakes' tradition of public service. He was a signer of the Continental Association, as well as the United States Declaration of Independence, and was one of the nation's Founding Fathers. He served as Virginia's governor from 1781 to 1784.</t>
  </si>
  <si>
    <t>Benjamin Rush January 4, 1746  – April 19, 1813 was an American revolutionary, a Founding Father of the United States and signatory to the U.S. Declaration of Independence, and a civic leader in Philadelphia, where he was a physician, politician, social reformer, humanitarian, educator, and the founder of Dickinson College.</t>
  </si>
  <si>
    <t>Button Gwinnett March 3, 1735 – May 19, 1777 was a British-born American Founding Father who, as a representative of Georgia to the Continental Congress, was one of the signers first signature on the left of the United States Declaration of Independence.</t>
  </si>
  <si>
    <t>Caesar Rodney October 7, 1728 – June 26, 1784 was an American Founding Father, lawyer, and politician from St. Jones Neck in Dover Hundred, Kent County, Delaware. He was an officer of the Delaware militia during the French and Indian War and the American Revolutionary War, a Continental Congressman from Delaware, a signer of the Continental Association and Declaration of Independence, and president of Delaware during most of the American Revolution.</t>
  </si>
  <si>
    <t>Carter Braxton September 10, 1736 – October 10, 1797 was a Founding Father of the United States, signer of the Declaration of Independence, merchant, and Virginia planter.</t>
  </si>
  <si>
    <t>Charles Carroll September 19, 1737 – November 14, 1832, known as Charles Carroll of Carrollton or Charles Carroll III, was an Irish-American politician, planter, and signatory of the Declaration of Independence. He was the only Catholic signatory of the Declaration and the longest surviving, dying 56 years after its signing.</t>
  </si>
  <si>
    <t>Charles Joseph Patissier, Marquis de Bussy-Castelnau 8 February 1718 or 8 February 1720 – 7 January 1785 or Charles Joseph Patissier de Bussy was the Governor General of the French colony of Pondicherry from 1783 to 1785. He served with distinction under Joseph François Dupleix in the East Indies, receiving the Order of Saint Louis. He contributed to the recovery from Britain of Pondicherry in 1748, and was named in 1782 to lead all French military forces beyond the Cape of Good Hope. He coordinated his operations with Pierre André de Suffren and fought against the British during the Indian campaigns of the American War of Independence.</t>
  </si>
  <si>
    <t>Charles Cotesworth Pinckney February 25, 1746 – August 16, 1825 was a Founding Father of the United States, military officer during the Revolutionary War, attorney, planter, and slave owner. A delegate to the Constitutional Convention, Pinckney was a signer of the U.S. Constitution and later served as U.S. Minister to France.</t>
  </si>
  <si>
    <t>Charles Pinckney October 26, 1757 – October 29, 1824 was an American Founding Father, planter, and politician who was a signer of the United States Constitution. He was elected and served as the 37th governor of South Carolina, later serving two more non-consecutive terms.</t>
  </si>
  <si>
    <t>Charles Thomson November 29, 1729 – August 16, 1824 was an Irish-born patriot leader in Philadelphia during the American Revolution and the secretary of the Continental Congress 1774–1789 throughout its existence. As secretary, Thomson, a Founding Father of the United States, prepared the Journals of the Continental Congress, and his and John Hancock's names were the only two to appear on the first printing of the United States Declaration of Independence.</t>
  </si>
  <si>
    <t>Daniel Carroll July 22, 1730 – May 7, 1796 was an American politician and plantation owner from Maryland and one of the Founding Fathers of the United States. He supported the American Revolution, served in the Confederation Congress, was a delegate to the Philadelphia Convention of 1787 which penned the Constitution of the United States, and was a U.S. Representative in the First Congress.</t>
  </si>
  <si>
    <t>Daniel of St. Thomas Jenifer 1723 – November 16, 1790 was an American politician and Founding Father who was one of the signers of the Constitution of the United States. He was active for many years in the Province of Maryland's colonial government, but when conflict arose with Great Britain, Jenifer embraced the Patriot cause.</t>
  </si>
  <si>
    <t>David Brearley often misspelled as Brearly June 11, 1745 – August 16, 1790 was an American Founding Father, Chief Justice of the Supreme Court of New Jersey, a delegate from New Jersey to the Constitutional Convention of 1787, which drafted the United States Constitution, a signer of the United States Constitution, and a United States district judge of the United States District Court for the District of New Jersey.</t>
  </si>
  <si>
    <t>Edward Rutledge November 23, 1749 – January 23, 1800 was an American Founding Father and politician who signed the Continental Association and was the youngest signatory of the Declaration of Independence. He later served as the 39th governor of South Carolina.</t>
  </si>
  <si>
    <t>Elbridge Gerry /ˈɡɛri/; July 17, 1744 – November 23, 1814 was an American Founding Father, merchant, politician, and diplomat who served as the fifth vice president of the United States under President James Madison from 1813 until his death in 1814. The political practice of gerrymandering is named after him.</t>
  </si>
  <si>
    <t>Francis Hopkinson October 2, 1737 – May 9, 1791 was an American Founding Father, lawyer, jurist, author, and composer. He designed Continental paper money and two early versions of flags, one for the United States and one for the United States Navy. He was a signer of the Declaration of Independence in July 1776 as a delegate from New Jersey.</t>
  </si>
  <si>
    <t>Francis Lewis March 21, 1713 – December 31, 1802 was an American merchant and a Founding Father of the United States. He was a signatory of the United States Declaration of Independence and Articles of Confederation as a representative of New York in the Continental Congress.</t>
  </si>
  <si>
    <t>Francis Lightfoot Lee October 14, 1734 – January 11, 1797 was a Founding Father of the United States and a member of the House of Burgesses in the Colony of Virginia. As an active protester regarding issues such as the Stamp Act of 1765, Lee helped move the colony in the direction of independence from Britain. Lee was a delegate to the Virginia Conventions and the Continental Congress. He was a signer of the Declaration of Independence and Articles of Confederation as a representative of Virginia.</t>
  </si>
  <si>
    <t>George Clymer March 16, 1739 – January 23, 1813 was an American politician, abolitionist and Founding Father of the United States, one of only six founders who signed both the Declaration of Independence and U.S. Constitution. Clymer was among the earliest patriots to advocate for complete independence from Britain.</t>
  </si>
  <si>
    <t>George Read September 18, 1733 – September 21, 1798 was an American politician from New Castle in New Castle County, Delaware. He was a Continental Congressman from Delaware, a delegate to the U.S. Constitutional Convention of 1787, president of Delaware, and a member of the Federalist Party. In addition, Read served as U.S. Senator from Delaware and chief justice of Delaware.</t>
  </si>
  <si>
    <t>George Ross Jr May 10, 1730 – July 14, 1779 was a Founding Father of the United States who signed the Continental Association and the United States Declaration of Independence as a representative of Pennsylvania. He was also the uncle of the man who married Betsy Griscom in 1773, more famous under her married name, Betsy Ross. In 1952, Ross, George Washington, and Robert Morris appeared on a three-cent stamp commemorating Betsy Ross.</t>
  </si>
  <si>
    <t>George Taylor c. 1716 – February 23, 1781 was an American ironmaster and politician who was a Founding Father of the United States and a signer of the United States Declaration of Independence as a representative of Pennsylvania. His former home, the George Taylor House in Catasauqua, Pennsylvania, was named a National Historic Landmark in 1971.</t>
  </si>
  <si>
    <t>George Walton c. 1749 – February 2, 1804, a Founding Father of the United States, signed the United States Declaration of Independence while representing Georgia in the Continental Congress. Walton also served briefly as the second chief executive of Georgia in 1779 and was again named governor in 1789–1790.</t>
  </si>
  <si>
    <t>George Washington February 22, 1732 – December 14, 1799 was an American military officer, statesman, and Founding Father who served as the first president of the United States from 1789 to 1797.</t>
  </si>
  <si>
    <t>George Wythe /wɪθ/; 1726 – June 8, 1806 was an American academic, scholar and judge who was one of the Founding Fathers of the United States. The first of the seven signatories of the United States Declaration of Independence from Virginia, Wythe served as one of Virginia's representatives to the Continental Congress and the Philadelphia Convention and served on a committee that established the convention's rules and procedures.</t>
  </si>
  <si>
    <t>Gouverneur Morris /ɡʌvərnɪər ˈmɒrɪs/ guh-vər-NEER MOR-ris; January 31, 1752 – November 6, 1816 was an American statesman, a Founding Father of the United States, and a signatory to the Articles of Confederation and the United States Constitution. He wrote the Preamble to the United States Constitution and has been called the "Penman of the Constitution".</t>
  </si>
  <si>
    <t>Gunning Bedford Jr. 1747 – March 30, 1812 was an American Founding Father, delegate to the Congress of the Confederation Continental Congress, Attorney General of Delaware, a delegate to the Constitutional Convention in 1787 which drafted the United States Constitution, a signer of the United States Constitution, and a United States district judge of the United States District Court for the District of Delaware.</t>
  </si>
  <si>
    <t>Hugh Williamson December 5, 1735 – May 22, 1819 was an American Founding Father, physician, and politician. He is best known as a signatory to the U.S. Constitution and for representing North Carolina at the Constitutional Convention.</t>
  </si>
  <si>
    <t>Jacob Broom October 17, 1752 – April 25, 1810 was an American Founding Father, businessman, and politician from Wilmington, Delaware. As a delegate to the U.S. Constitutional Convention of 1787, he was a signer of the United States Constitution.</t>
  </si>
  <si>
    <t>James Madison Jr. March 16, 1751 – June 28, 1836 was an American statesman, diplomat, and Founding Father who served as the fourth president of the United States from 1809 to 1817. Madison is hailed as the "Father of the Constitution" for his pivotal role in drafting and promoting the Constitution of the United States and the Bill of Rights.</t>
  </si>
  <si>
    <t>James McHenry November 16, 1753 – May 3, 1816 was a Scotch-Irish American military surgeon, statesman, and a Founding Father of the United States. McHenry was a signer of the United States Constitution from Maryland, initiated the recommendation for Congress to form the Navy, and was the eponym of Fort McHenry.</t>
  </si>
  <si>
    <t>James Smith September 17, 1719 – July 11, 1806, a Founding Father of the United States, was an Irish/American lawyer and a signer to the United States Declaration of Independence as a representative of Pennsylvania.</t>
  </si>
  <si>
    <t>James Wilson September 14, 1742 – August 21, 1798 was a Scottish-born American Founding Father, legal scholar, jurist, and statesman who served as an associate justice of the United States Supreme Court from 1789 to 1798. Wilson was elected twice to the Continental Congress, was a signatory of the Declaration of Independence, and was a major participant in drafting the U.S. Constitution. A</t>
  </si>
  <si>
    <t>Jared Ingersoll October 24, 1749 – October 31, 1822 was an American Founding Father, lawyer, and statesman from Philadelphia, Pennsylvania. He was a delegate to the Continental Congress and a signer of the United States Constitution.</t>
  </si>
  <si>
    <t>John Adams October 30, 1735 – July 4, 1826 was an American statesman, attorney, diplomat, writer, and Founding Father who served as the second president of the United States from 1797 to 1801.</t>
  </si>
  <si>
    <t>John Blair Jr. April 17, 1732 – August 31, 1800 was an American Founding Father, who signed the United States Constitution as a delegate from Virginia and was appointed an Associate Justice on the first U.S. Supreme Court by George Washington.</t>
  </si>
  <si>
    <t>John Dickinson November 13 1732 – February 14, 1808, a Founding Father of the United States, was an attorney and politician from Philadelphia, Pennsylvania, and Wilmington, Delaware. Dickinson was known as the "Penman of the Revolution" for his twelve Letters from a Farmer in Pennsylvania, published individually in 1767 and 1768, and he also wrote "The Liberty Song" in 1768.</t>
  </si>
  <si>
    <t>John Hancock January 23, 1737 – October 8, 1793 was an American Founding Father, merchant, statesman, and prominent Patriot of the American Revolution. He served as president of the Second Continental Congress and was the first and third Governor of the Commonwealth of Massachusetts. He is remembered for his large and stylish signature on the United States Declaration of Independence, so much so that the term John Hancock or Hancock has become a nickname in the United States for one's signature.</t>
  </si>
  <si>
    <t>John Hart circa 1713 – May 11, 1779 was an American Founding Father and politician in colonial New Jersey. As a delegate to the Continental Congress, Hart signed the Declaration of Independence. He died several years before the end of the Revolutionary War while still active in patriotic efforts.</t>
  </si>
  <si>
    <t>John Langdon June 26, 1741 – September 18, 1819 was an American politician and Founding Father from New Hampshire. He served as a delegate to the Constitutional Convention, signed the United States Constitution, and was one of the first two United States senators from New Hampshire.</t>
  </si>
  <si>
    <t>John Morton 1725 – April 1, 1777 was an American farmer, surveyor, and jurist from the Province of Pennsylvania and a Founding Father of the United States. As a delegate to the Continental Congress during the American Revolution, he was a signatory to the Continental Association and Declaration of Independence.</t>
  </si>
  <si>
    <t>John Penn May 17, 1741 – September 14, 1788 was an American Founding Father who served multiple terms in the Continental Congress, and who signed both the Declaration of Independence and Articles of Confederation as a delegate of North Carolina.</t>
  </si>
  <si>
    <t>John Rutledge September 17, 1739 – June 21, 1800 was an American Founding Father, politician, and jurist who served as one of the original associate justices of the Supreme Court and the second chief justice of the United States. Additionally, he served as the first president of South Carolina and later as its first governor after the Declaration of Independence was signed.</t>
  </si>
  <si>
    <t>John Witherspoon February 5, 1723 – November 15, 1794 was a Scottish-American Presbyterian minister, educator, farmer, slaveholder, and a Founding Father of the United States. Witherspoon embraced the concepts of Scottish common sense realism, and while president of the College of New Jersey 1768–1794; now Princeton University became an influential figure in the development of the United States' national character. Politically active, Witherspoon was a delegate from New Jersey to the Second Continental Congress and a signatory to the July 4, 1776, Declaration of Independence.</t>
  </si>
  <si>
    <t>Jonathan Dayton October 16, 1760 – October 9, 1824 was an American Founding Father and politician from the U.S. state of New Jersey. At age 26 he was the youngest person to sign the Constitution of the United States. He was elected to the United States House of Representatives in 1791 and later served from 1795-1799 as its third Speaker. He left the House in 1799 after being elected to the U.S. Senate, where he served one term.</t>
  </si>
  <si>
    <t>Joseph Hewes July 9, 1730– November 10, 1779 was an American Founding Father and a signer of the Continental Association and U.S. Declaration of Independence. Hewes was a native of Princeton, New Jersey, where he was born in 1730. His parents were members of the Society of Friends, commonly known as Quakers.</t>
  </si>
  <si>
    <t>Josiah Bartlett December 2, 1729 – May 19, 1795 was an American Founding Father, physician, statesman, a delegate to the Continental Congress for New Hampshire, and a signatory to the Declaration of Independence and Articles of Confederation. He served as the first governor of New Hampshire and chief justice of the New Hampshire Superior Court of Judicature.</t>
  </si>
  <si>
    <t>Lewis Morris April 8, 1726 – January 22, 1798 was an American Founding Father, landowner, and developer from Morrisania, New York, presently part of Bronx County. He signed the U.S. Declaration of Independence as a delegate to the Continental Congress from New York.</t>
  </si>
  <si>
    <t>Lyman Hall April 12, 1724 – October 19, 1790 was an American Founding Father, physician, clergyman, and statesman who signed the United States Declaration of Independence as a representative of Georgia. Hall County is named after him. He was one of four physicians to sign the Declaration, along with Benjamin Rush, Josiah Bartlett, and Matthew Thornton.</t>
  </si>
  <si>
    <t>Matthew Thornton March 3, 1714 – June 24, 1803 was an Irish-born Founding Father of the United States who signed the United States Declaration of Independence as a representative of New Hampshire.</t>
  </si>
  <si>
    <t>Nathaniel Gorham May 27, 1738 – June 11, 1796; sometimes spelled Nathanial was an American Founding Father, merchant, and politician from Massachusetts. He was a delegate from the Bay Colony to the Continental Congress and for six months served as the presiding officer of that body under the Articles of Confederation. He also attended the Constitutional Convention, served on its Committee of Detail, and signed the United States Constitution.</t>
  </si>
  <si>
    <t>Nicholas Gilman Jr. August 3, 1755 – May 2, 1814 was an American Founding Father, a soldier in the Continental Army during the American Revolutionary War, a delegate to the Continental Congress, and a signer of the U.S. Constitution, representing New Hampshire.</t>
  </si>
  <si>
    <t>Oliver Wolcott Sr. /ˈwʊlkət/ WUUL-kət; November 20, 1726 – December 1, 1797 was an American Founding Father and politician. He was a signer of the United States Declaration of Independence and the Articles of Confederation as a representative of Connecticut, and the nineteenth governor of Connecticut. Wolcott was a major general for the Connecticut militia in the Revolutionary War serving under George Washington.</t>
  </si>
  <si>
    <t>Philip Livingston January 15, 1716 – June 12, 1778 was an American merchant, politician and slave trader from New York City. He represented New York at the October 1774 First Continental Congress, where he favored imposing economic sanctions upon Great Britain as a way of pressuring the British Parliament to repeal the Intolerable Acts. Livingston was also a delegate to the Second Continental Congress from 1775 to 1778, and signed the Declaration of Independence, thus becoming one of the Founding Fathers of the United States.</t>
  </si>
  <si>
    <t>Pierce Butler July 11, 1744 – February 15, 1822 was an Irish-born American politician who was one of the Founding Fathers of the United States. Born in the Kingdom of Ireland, Butler emigrated to the British North American colonies, where he fought in the American Revolutionary War. After the war, he served as a state legislator and was a member of the Congress of the Confederation. In 1787, he served as a delegate to the 1787 Constitutional Convention, where Butler signed the Constitution of the United States; he was also a member of the United States Senate.</t>
  </si>
  <si>
    <t>Richard Bassett April 2, 1745 – September 15, 1815 was an American politician, attorney, slave owner and later abolitionist, veteran of the American Revolution, signer of the United States Constitution, and one of the Founding Fathers of America. He also served as United States Senator from Delaware, chief justice of the Delaware Court of Common Pleas, governor of Delaware and a United States circuit judge of the United States Circuit Court for the Third Circuit.</t>
  </si>
  <si>
    <t>Richard Dobbs Spaight March 25, 1758 – September 6, 1802 was an American Founding Father, politician, planter, and signer of the United States Constitution, who served as a Democratic-Republican U.S. Representative for North Carolina's 10th congressional district from 1798 to 1801.</t>
  </si>
  <si>
    <t>Richard Henry Lee January 20, 1732 – June 19, 1794 was an American statesman and Founding Father from Virginia, best known for the June 1776 Lee Resolution, the motion in the Second Continental Congress calling for the colonies' independence from Great Britain leading to the United States Declaration of Independence, which he signed.</t>
  </si>
  <si>
    <t>Richard Stockton October 1, 1730 – February 28, 1781 was an American Founding Father, lawyer, jurist, legislator, and signer of the Declaration of Independence.</t>
  </si>
  <si>
    <t>Robert Morris Jr. January 20, 1734 – May 8, 1806 was an English-born merchant and a Founding Father of the United States. He served as a member of the Pennsylvania legislature, the Second Continental Congress, and the United States Senate, and he was a signer of the Declaration of Independence, the Articles of Confederation, and the United States Constitution.</t>
  </si>
  <si>
    <t>Robert Treat Paine March 11, 1731 – May 11, 1814 was a lawyer, politician and Founding Father of the United States who signed the Continental Association and Declaration of Independence as a representative of Massachusetts. He served as the state's first attorney general and as an associate justice of the Massachusetts Supreme Judicial Court, the state's highest court.</t>
  </si>
  <si>
    <t>Roger Sherman April 19, 1721 – July 23, 1793 was an American statesman, lawyer, and a Founding Father of the United States. He is the only person to sign four of the great state papers of the United States related to the founding: the Continental Association, Declaration of Independence, Articles of Confederation, and U.S. Constitution. He also signed the 1774 Petition to the King and 1775 Olive Branch Petition.</t>
  </si>
  <si>
    <t>Rufus King March 24, 1755 – April 29, 1827 was an American Founding Father, lawyer, politician, and diplomat. He was a delegate from Massachusetts to the Continental Congress and the Philadelphia Convention and was one of the signers of the United States Constitution in 1787.</t>
  </si>
  <si>
    <t>Samuel Adams September 27  1722 – October 2, 1803 was an American statesman, political philosopher, and a Founding Father of the United States. He was a politician in colonial Massachusetts, a leader of the movement that became the American Revolution, and one of the architects of the principles of American republicanism that shaped the political culture of the United States. He was a second cousin to his fellow Founding Father, President John Adams.</t>
  </si>
  <si>
    <t>Samuel Chase April 17, 1741 – June 19, 1811 was a Founding Father of the United States, signer of the Continental Association and United States Declaration of Independence as a representative of Maryland, and Associate Justice of the United States Supreme Court. Chase was impeached by the House of Representatives on grounds of letting his partisan leanings affect his court decisions but was acquitted by the Senate and remained in office.</t>
  </si>
  <si>
    <t>Samuel Huntington July 16, 1731  – January 5, 1796 was a Founding Father of the United States and a lawyer, jurist, statesman, and Patriot in the American Revolution from Connecticut. As a delegate to the Continental Congress, he signed the Declaration of Independence and the Articles of Confederation.</t>
  </si>
  <si>
    <t>Stephen Hopkins March 7, 1707 – July 13, 1785 was a Founding Father of the United States, a governor of the Colony of Rhode Island and Providence Plantations, a chief justice of the Rhode Island Supreme Court, and a signer of the Continental Association and Declaration of Independence.</t>
  </si>
  <si>
    <t>Thomas Fitzsimons October 1741 – August 26, 1811 was an Irish-born American Founding Father, merchant, banker, and politician. A resident of Philadelphia, Fitzsimons represented Pennsylvania in the Continental Congress, was a delegate to Constitutional Convention, and served in U.S. Congress. He was a signatory of the Constitution of the United States. A slave owner, Fitzsimons was an early proponent of abolishing the slave trade in the newly formed nation.</t>
  </si>
  <si>
    <t>Thomas Heyward Jr. July 28, 1746 – March 6, 1809 was an American Founding Father, lawyer, jurist, and politician. Heyward was active politically during the Revolutionary Era. As a member of the Continental Congress representing South Carolina, he signed the Declaration of Independence and Articles of Confederation.</t>
  </si>
  <si>
    <t>Thomas Jefferson April 13, 1743 – July 4, 1826 was an American statesman, diplomat, lawyer, architect, philosopher, and Founding Father who served as the third president of the United States from 1801 to 1809. Among the Committee of Five charged by the Second Continental Congress with authoring the Declaration of Independence, Jefferson was the document's primary author.</t>
  </si>
  <si>
    <t>Thomas Lynch Jr. August 5, 1749 – December 17, 1779 was a signer of the United States Declaration of Independence as a representative of South Carolina and a Founding Father of the United States. His father was a member of the Continental Congress who had signed the 1774 Continental Association, and when he stepped down because of illness Lynch Jr. was selected to fill his post.</t>
  </si>
  <si>
    <t>Thomas McKean pronounced mc-Kane March 19, 1734 – June 24, 1817 was an American lawyer, politician, and Founding Father. During the American Revolution, he was a Delaware delegate to the Continental Congress in Philadelphia, where he signed the Continental Association, the Declaration of Independence, and the Articles of Confederation. McKean served as a President of Congress.</t>
  </si>
  <si>
    <t>Thomas Mifflin January 10, 1744 – January 20, 1800 was an American merchant, soldier, and politician from Pennsylvania, who is regarded as a Founding Father of the United States for his roles during and after the American Revolution. Mifflin signed the United States Constitution, was the first governor of Pennsylvania, serving from 1790 to 1799, and was also the state's last president, succeeding Benjamin Franklin in 1788.</t>
  </si>
  <si>
    <t>Thomas Nelson Jr. December 26, 1738 – January 4, 1789 was a Founding Father of the United States, general in the Revolutionary War, member of the Continental Congress, and a Virginia planter and slave owner. In addition to serving many terms in the Virginia General Assembly, he twice represented Virginia in the Congress, where he signed the Declaration of Independence in 1776.</t>
  </si>
  <si>
    <t>Thomas Stone 1743 – October 5, 1787 was an American Founding Father, planter, politician, and lawyer who signed the United States Declaration of Independence as a delegate for Maryland. He later worked on the committee that formed the Articles of Confederation in 1777. He acted as president of Congress for a short time in 1784. Stone was a member of the Maryland Senate from 1777 to 1780 and again from 1781 to 1787.</t>
  </si>
  <si>
    <t>William Blount March 29, 1749 – March 21, 1800 was an American Founding Father, statesman, farmer, and land speculator who signed the United States Constitution. He was a member of the North Carolina delegation at the Constitutional Convention of 1787 and led the efforts for North Carolina to ratify the Constitution in 1789 at the Fayetteville Convention.</t>
  </si>
  <si>
    <t>William Ellery December 22, 1727 – February 15, 1820 was a Founding Father of the United States, one of the 56 signers of the United States Declaration of Independence, and a signer of the Articles of Confederation as a representative of Rhode Island.</t>
  </si>
  <si>
    <t>William Few Jr. June 8, 1748 – July 16, 1828 was an American Founding Father, lawyer, politician and jurist. He represented the U.S. state of Georgia at the Constitutional Convention and signed the U.S. Constitution. Few and James Gunn were the first U.S. Senators from Georgia.</t>
  </si>
  <si>
    <t>William Floyd December 17, 1734 – August 4, 1821 was an American Founding Father, wealthy farmer, and political leader from New York. Floyd served as a delegate to the Continental Congress and was a signer of the Continental Association and Declaration of Independence.</t>
  </si>
  <si>
    <t>William Hooper June 28, 1742 – October 14, 1790 was an American Founding Father, lawyer, and politician. As a member of the Continental Congress representing North Carolina, Hooper signed the Continental Association and the Declaration of Independence.</t>
  </si>
  <si>
    <t>William Livingston November 30, 1723 – July 25, 1790 was an American politician and lawyer who served as the first governor of New Jersey 1776–1790 during the American Revolutionary War. As a New Jersey representative in the Continental Congress, he signed the Continental Association and the United States Constitution.</t>
  </si>
  <si>
    <t>William Paca October 31, 1740 – October 13, 1799 was a Founding Father of the United States who was a signatory to the Continental Association and the United States Declaration of Independence.</t>
  </si>
  <si>
    <t>William Paterson December 24, 1745 – September 9, 1806 was an American statesman, lawyer, jurist, and signer of the United States Constitution.</t>
  </si>
  <si>
    <t>William Samuel Johnson October 7, 1727 – November 14, 1819 was an American Founding Father and statesman. Before the Revolutionary War, he had served as a militia lieutenant before being relieved after his rejection of his election to the First Continental Congress for opposing American independence. He was notable for signing the United States Constitution, representing Connecticut in the United States Senate, and serving as the third president of Columbia University then known as Columbia College.</t>
  </si>
  <si>
    <t>William Whipple Jr. January 25, 1731 NS – November 28, 1785 was an American Founding Father and signatory of the United States Declaration of Independence. He represented New Hampshire as a member of the Continental Congress from 1776 through 1779. He worked as both a ship's captain and a merchant, and he studied in college to become a judge.</t>
  </si>
  <si>
    <t>William Williams April 8, 1731 – August 2, 1811 was an American Founding Father, merchant, a delegate for Connecticut to the Continental Congress in 1776, and a signatory to the United States Declaration of Independence.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</si>
</sst>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1" x14ac:knownFonts="1">
    <font>
      <sz val="11"/>
      <color theme="1"/>
      <name val="Calibri"/>
      <family val="2"/>
      <scheme val="minor"/>
    </font>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
      <sz val="11"/>
      <color rgb="FF202124"/>
      <name val="Roboto"/>
    </font>
    <font>
      <sz val="11"/>
      <color rgb="FFFFFFFF"/>
      <name val="Courier New"/>
      <family val="3"/>
    </font>
    <font>
      <sz val="9"/>
      <color rgb="FF000000"/>
      <name val="Arial"/>
      <family val="2"/>
    </font>
    <font>
      <sz val="10"/>
      <color theme="1"/>
      <name val="Arial"/>
      <family val="2"/>
    </font>
    <font>
      <sz val="10"/>
      <color rgb="FF333333"/>
      <name val="Open Sans"/>
      <family val="2"/>
    </font>
    <font>
      <b/>
      <sz val="9"/>
      <color rgb="FF000000"/>
      <name val="Arial"/>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303030"/>
        <bgColor indexed="64"/>
      </patternFill>
    </fill>
    <fill>
      <patternFill patternType="solid">
        <fgColor rgb="FFFFFF00"/>
        <bgColor indexed="64"/>
      </patternFill>
    </fill>
  </fills>
  <borders count="9">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medium">
        <color rgb="FF51515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43" fontId="1" fillId="0" borderId="0" applyFont="0" applyFill="0" applyBorder="0" applyAlignment="0" applyProtection="0"/>
    <xf numFmtId="0" fontId="4" fillId="0" borderId="0" applyNumberFormat="0" applyFill="0" applyBorder="0" applyAlignment="0" applyProtection="0"/>
  </cellStyleXfs>
  <cellXfs count="38">
    <xf numFmtId="0" fontId="0" fillId="0" borderId="0" xfId="0"/>
    <xf numFmtId="0" fontId="0" fillId="3" borderId="2" xfId="0" applyFill="1" applyBorder="1"/>
    <xf numFmtId="0" fontId="0" fillId="0" borderId="1" xfId="0" applyBorder="1"/>
    <xf numFmtId="0" fontId="0" fillId="0" borderId="2" xfId="0" applyBorder="1"/>
    <xf numFmtId="0" fontId="4" fillId="0" borderId="0" xfId="2"/>
    <xf numFmtId="49" fontId="0" fillId="0" borderId="0" xfId="0" applyNumberFormat="1"/>
    <xf numFmtId="0" fontId="5" fillId="0" borderId="0" xfId="0" applyFont="1"/>
    <xf numFmtId="0" fontId="6" fillId="4" borderId="4" xfId="0" applyFont="1" applyFill="1" applyBorder="1" applyAlignment="1">
      <alignment horizontal="left" vertical="center" indent="1"/>
    </xf>
    <xf numFmtId="11" fontId="0" fillId="0" borderId="0" xfId="0" applyNumberFormat="1"/>
    <xf numFmtId="16" fontId="0" fillId="0" borderId="0" xfId="0" applyNumberFormat="1"/>
    <xf numFmtId="0" fontId="2" fillId="2" borderId="5" xfId="0" applyFont="1" applyFill="1" applyBorder="1"/>
    <xf numFmtId="0" fontId="2" fillId="2" borderId="6" xfId="0" applyFont="1" applyFill="1" applyBorder="1"/>
    <xf numFmtId="49" fontId="2" fillId="2" borderId="6" xfId="0" applyNumberFormat="1" applyFont="1" applyFill="1" applyBorder="1"/>
    <xf numFmtId="0" fontId="2" fillId="2" borderId="7" xfId="0" applyFont="1" applyFill="1" applyBorder="1"/>
    <xf numFmtId="0" fontId="0" fillId="3" borderId="5" xfId="0" applyFill="1" applyBorder="1"/>
    <xf numFmtId="0" fontId="0" fillId="3" borderId="6" xfId="0" applyFill="1" applyBorder="1"/>
    <xf numFmtId="0" fontId="0" fillId="3" borderId="7" xfId="0" applyFill="1" applyBorder="1"/>
    <xf numFmtId="0" fontId="0" fillId="0" borderId="5" xfId="0" applyBorder="1"/>
    <xf numFmtId="0" fontId="0" fillId="0" borderId="6" xfId="0" applyBorder="1"/>
    <xf numFmtId="0" fontId="0" fillId="0" borderId="7" xfId="0" applyBorder="1"/>
    <xf numFmtId="0" fontId="4" fillId="3" borderId="6" xfId="2" applyFill="1" applyBorder="1"/>
    <xf numFmtId="49" fontId="0" fillId="0" borderId="6" xfId="0" applyNumberFormat="1" applyBorder="1"/>
    <xf numFmtId="49" fontId="0" fillId="3" borderId="6" xfId="0" applyNumberFormat="1" applyFill="1" applyBorder="1"/>
    <xf numFmtId="0" fontId="0" fillId="0" borderId="3" xfId="0" applyBorder="1"/>
    <xf numFmtId="0" fontId="2" fillId="2" borderId="0" xfId="0" applyFont="1" applyFill="1"/>
    <xf numFmtId="164" fontId="0" fillId="0" borderId="0" xfId="1" applyNumberFormat="1" applyFont="1"/>
    <xf numFmtId="0" fontId="0" fillId="5" borderId="0" xfId="0" applyFill="1"/>
    <xf numFmtId="0" fontId="0" fillId="0" borderId="0" xfId="0" applyAlignment="1">
      <alignment wrapText="1"/>
    </xf>
    <xf numFmtId="0" fontId="7" fillId="0" borderId="0" xfId="0" applyFont="1"/>
    <xf numFmtId="0" fontId="8" fillId="0" borderId="8" xfId="0" applyFont="1" applyBorder="1" applyAlignment="1">
      <alignment vertical="center"/>
    </xf>
    <xf numFmtId="0" fontId="4" fillId="0" borderId="8" xfId="2" applyBorder="1" applyAlignment="1">
      <alignment vertical="center"/>
    </xf>
    <xf numFmtId="0" fontId="8" fillId="0" borderId="0" xfId="0" applyFont="1" applyAlignment="1">
      <alignment vertical="center"/>
    </xf>
    <xf numFmtId="0" fontId="4" fillId="0" borderId="0" xfId="2" applyBorder="1" applyAlignment="1">
      <alignment vertical="center"/>
    </xf>
    <xf numFmtId="0" fontId="4" fillId="0" borderId="0" xfId="2" applyAlignment="1">
      <alignment horizontal="left" vertical="center"/>
    </xf>
    <xf numFmtId="0" fontId="0" fillId="0" borderId="0" xfId="0" applyAlignment="1"/>
    <xf numFmtId="15" fontId="0" fillId="0" borderId="0" xfId="0" applyNumberFormat="1" applyAlignment="1"/>
    <xf numFmtId="0" fontId="9" fillId="0" borderId="0" xfId="0" applyFont="1"/>
    <xf numFmtId="0" fontId="10" fillId="0" borderId="0" xfId="0" applyFont="1"/>
  </cellXfs>
  <cellStyles count="3">
    <cellStyle name="Comma" xfId="1" builtinId="3"/>
    <cellStyle name="Hyperlink" xfId="2" builtinId="8"/>
    <cellStyle name="Normal" xfId="0" builtinId="0"/>
  </cellStyles>
  <dxfs count="5">
    <dxf>
      <font>
        <color rgb="FF9C0006"/>
      </font>
      <fill>
        <patternFill>
          <bgColor rgb="FFFFC7CE"/>
        </patternFill>
      </fill>
    </dxf>
    <dxf>
      <numFmt numFmtId="0" formatCode="General"/>
    </dxf>
    <dxf>
      <numFmt numFmtId="0" formatCode="General"/>
    </dxf>
    <dxf>
      <numFmt numFmtId="164" formatCode="_(* #,##0_);_(* \(#,##0\);_(* &quot;-&quot;??_);_(@_)"/>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6B455D-8DF9-4F03-AFD1-EB633A47CC82}" name="Table2" displayName="Table2" ref="A1:G18" totalsRowShown="0">
  <autoFilter ref="A1:G18" xr:uid="{006B455D-8DF9-4F03-AFD1-EB633A47CC82}"/>
  <sortState xmlns:xlrd2="http://schemas.microsoft.com/office/spreadsheetml/2017/richdata2" ref="A2:F18">
    <sortCondition ref="A1:A18"/>
  </sortState>
  <tableColumns count="7">
    <tableColumn id="1" xr3:uid="{5DFECE1A-7E06-434D-9D83-DA610D8A4699}" name="Name"/>
    <tableColumn id="2" xr3:uid="{AC05AB23-CD5D-45DB-ACE2-27FF429E4625}" name="Address"/>
    <tableColumn id="3" xr3:uid="{2D8B7D39-9060-4997-AEB8-175402C74282}" name="  City"/>
    <tableColumn id="4" xr3:uid="{16705833-AD21-4A0B-B2D0-2517C235384C}" name="State"/>
    <tableColumn id="5" xr3:uid="{226FC1BB-EFE6-4082-A5F5-0A60A07B297C}" name="ZIP" dataDxfId="4"/>
    <tableColumn id="6" xr3:uid="{0E7C1B41-23F0-4EA0-9C21-9B514E920EF3}" name="Phone"/>
    <tableColumn id="8" xr3:uid="{332F18A7-9D94-4441-BA44-75FEBB9FC132}" name="Insur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5073F7-3794-49BB-A1A7-DC1A1E339911}" name="Table3" displayName="Table3" ref="A1:G12" totalsRowShown="0">
  <autoFilter ref="A1:G12" xr:uid="{725073F7-3794-49BB-A1A7-DC1A1E339911}"/>
  <sortState xmlns:xlrd2="http://schemas.microsoft.com/office/spreadsheetml/2017/richdata2" ref="A2:G12">
    <sortCondition ref="A1:A12"/>
  </sortState>
  <tableColumns count="7">
    <tableColumn id="1" xr3:uid="{39E54EC8-D410-4DAE-B589-48B523E63850}" name="Insurer"/>
    <tableColumn id="2" xr3:uid="{45425CB6-29E8-4B0E-954A-3910E50D1F50}" name="Address"/>
    <tableColumn id="3" xr3:uid="{FC835D65-202B-449B-9CCA-2683CC44AA7C}" name="Address2"/>
    <tableColumn id="4" xr3:uid="{B4A75F22-146B-498F-B848-6988B759DE88}" name="City" dataDxfId="3" dataCellStyle="Comma"/>
    <tableColumn id="5" xr3:uid="{0986B118-542A-4E6B-9ECC-2CA08D5E4E61}" name="State"/>
    <tableColumn id="6" xr3:uid="{43F1F1FD-2ABE-4646-BBC1-199E43FBA873}" name="Zip"/>
    <tableColumn id="7" xr3:uid="{4A5A2B25-87D4-4E23-B952-9149E69AC18D}" name="Phon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DEFC48-A9CD-47D2-9D96-2D8624C7839A}" name="Table1" displayName="Table1" ref="A1:P82" totalsRowShown="0">
  <autoFilter ref="A1:P82" xr:uid="{0DDEFC48-A9CD-47D2-9D96-2D8624C7839A}"/>
  <sortState xmlns:xlrd2="http://schemas.microsoft.com/office/spreadsheetml/2017/richdata2" ref="A2:P82">
    <sortCondition ref="I1:I82"/>
  </sortState>
  <tableColumns count="16">
    <tableColumn id="10" xr3:uid="{02474281-92E8-4A4E-97FA-28024C123F3E}" name="item_id"/>
    <tableColumn id="1" xr3:uid="{7EB54951-A433-441D-B0C3-E7EE0B669AED}" name="Name"/>
    <tableColumn id="2" xr3:uid="{09245954-60DC-4215-8BFB-4962282AC369}" name="Link"/>
    <tableColumn id="13" xr3:uid="{B576811C-A1F4-4E84-9D59-78AEB41F5D08}" name="Type"/>
    <tableColumn id="4" xr3:uid="{AA82921D-C76A-48BA-96B3-E18729AFC962}" name="Description"/>
    <tableColumn id="5" xr3:uid="{300CA75D-8ABB-42D1-B8AD-014EE1740B89}" name="Creator"/>
    <tableColumn id="6" xr3:uid="{697D2DFC-743F-469A-8671-C8DF56980838}" name="Location"/>
    <tableColumn id="7" xr3:uid="{4A738ACF-C4F9-400A-94D5-0CDCC82BA880}" name="Date"/>
    <tableColumn id="8" xr3:uid="{35148314-3C37-48EA-8B18-D3B4F766B5AA}" name="Media"/>
    <tableColumn id="9" xr3:uid="{7442C49F-F6B5-48E3-9AEE-0037D1294D4B}" name="On Loan From"/>
    <tableColumn id="14" xr3:uid="{A19CD7EB-5C77-4C4C-857D-2B147ED3B5E3}" name="Primary Insurer"/>
    <tableColumn id="11" xr3:uid="{F0F06306-465A-41A1-BAF5-76E6F30E78CC}" name="D8" dataDxfId="2">
      <calculatedColumnFormula>RAND()</calculatedColumnFormula>
    </tableColumn>
    <tableColumn id="12" xr3:uid="{04D99793-7DD0-4BCD-8D57-8E8C1C777F27}" name="Dsescription"/>
    <tableColumn id="15" xr3:uid="{FDD50668-C036-4438-8E78-A9573E56135B}" name="id2"/>
    <tableColumn id="16" xr3:uid="{7E8FDBB2-05EE-4817-B2CB-5654B5C69458}" name="image2" dataDxfId="1"/>
    <tableColumn id="17" xr3:uid="{B0FD2BF9-8A13-4910-BAFF-97D922155E5C}" name="Policy Numbe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hegove.github.io/documents/museum/images/0TB43ZZ.jpg"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tel:215348104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6" Type="http://schemas.openxmlformats.org/officeDocument/2006/relationships/hyperlink" Target="https://en.wikipedia.org/wiki/John_Anderson_(New_Jersey_politician)" TargetMode="External"/><Relationship Id="rId21" Type="http://schemas.openxmlformats.org/officeDocument/2006/relationships/hyperlink" Target="https://en.wikipedia.org/wiki/James_Colleton" TargetMode="External"/><Relationship Id="rId42" Type="http://schemas.openxmlformats.org/officeDocument/2006/relationships/hyperlink" Target="https://en.wikipedia.org/wiki/Nathaniel_Bacon_(Virginia_politician)" TargetMode="External"/><Relationship Id="rId47" Type="http://schemas.openxmlformats.org/officeDocument/2006/relationships/hyperlink" Target="https://en.wikipedia.org/wiki/Richard_Bennett_(governor)" TargetMode="External"/><Relationship Id="rId63" Type="http://schemas.openxmlformats.org/officeDocument/2006/relationships/hyperlink" Target="https://en.wikipedia.org/wiki/Thomas_West,_3rd_Baron_De_La_Warr" TargetMode="External"/><Relationship Id="rId68" Type="http://schemas.openxmlformats.org/officeDocument/2006/relationships/hyperlink" Target="https://en.wikipedia.org/wiki/William_Franklin" TargetMode="External"/><Relationship Id="rId7" Type="http://schemas.openxmlformats.org/officeDocument/2006/relationships/hyperlink" Target="https://en.wikipedia.org/wiki/Edward_Digges" TargetMode="External"/><Relationship Id="rId71" Type="http://schemas.openxmlformats.org/officeDocument/2006/relationships/hyperlink" Target="https://en.wikipedia.org/wiki/William_Sayle" TargetMode="External"/><Relationship Id="rId2" Type="http://schemas.openxmlformats.org/officeDocument/2006/relationships/hyperlink" Target="https://en.wikipedia.org/wiki/Arthur_Middleton_(1681%E2%80%931737)" TargetMode="External"/><Relationship Id="rId16" Type="http://schemas.openxmlformats.org/officeDocument/2006/relationships/hyperlink" Target="https://en.wikipedia.org/wiki/Henry_Chicheley" TargetMode="External"/><Relationship Id="rId29" Type="http://schemas.openxmlformats.org/officeDocument/2006/relationships/hyperlink" Target="https://en.wikipedia.org/wiki/John_Pott" TargetMode="External"/><Relationship Id="rId11" Type="http://schemas.openxmlformats.org/officeDocument/2006/relationships/hyperlink" Target="https://en.wikipedia.org/wiki/Francis_West" TargetMode="External"/><Relationship Id="rId24" Type="http://schemas.openxmlformats.org/officeDocument/2006/relationships/hyperlink" Target="https://en.wikipedia.org/wiki/James_Moore_Sr." TargetMode="External"/><Relationship Id="rId32" Type="http://schemas.openxmlformats.org/officeDocument/2006/relationships/hyperlink" Target="https://en.wikipedia.org/wiki/John_West_(governor)" TargetMode="External"/><Relationship Id="rId37" Type="http://schemas.openxmlformats.org/officeDocument/2006/relationships/hyperlink" Target="https://en.wikipedia.org/wiki/Josiah_Hardy" TargetMode="External"/><Relationship Id="rId40" Type="http://schemas.openxmlformats.org/officeDocument/2006/relationships/hyperlink" Target="https://en.wikipedia.org/wiki/Lord_William_Campbell" TargetMode="External"/><Relationship Id="rId45" Type="http://schemas.openxmlformats.org/officeDocument/2006/relationships/hyperlink" Target="https://en.wikipedia.org/wiki/Philip_Carteret_(colonial_governor)" TargetMode="External"/><Relationship Id="rId53" Type="http://schemas.openxmlformats.org/officeDocument/2006/relationships/hyperlink" Target="https://en.wikipedia.org/wiki/Robert_Johnson_(governor)" TargetMode="External"/><Relationship Id="rId58" Type="http://schemas.openxmlformats.org/officeDocument/2006/relationships/hyperlink" Target="https://en.wikipedia.org/wiki/Thomas_Broughton_(acting_governor)" TargetMode="External"/><Relationship Id="rId66" Type="http://schemas.openxmlformats.org/officeDocument/2006/relationships/hyperlink" Target="https://en.wikipedia.org/wiki/William_Bull_(governor)" TargetMode="External"/><Relationship Id="rId5" Type="http://schemas.openxmlformats.org/officeDocument/2006/relationships/hyperlink" Target="https://en.wikipedia.org/wiki/Edmund_Jenings_(governor)" TargetMode="External"/><Relationship Id="rId61" Type="http://schemas.openxmlformats.org/officeDocument/2006/relationships/hyperlink" Target="https://en.wikipedia.org/wiki/Thomas_Lee_(Virginia_colonist)" TargetMode="External"/><Relationship Id="rId19" Type="http://schemas.openxmlformats.org/officeDocument/2006/relationships/hyperlink" Target="https://en.wikipedia.org/wiki/Hugh_Drysdale" TargetMode="External"/><Relationship Id="rId14" Type="http://schemas.openxmlformats.org/officeDocument/2006/relationships/hyperlink" Target="https://en.wikipedia.org/wiki/George_Reade_(colonial_governor)" TargetMode="External"/><Relationship Id="rId22" Type="http://schemas.openxmlformats.org/officeDocument/2006/relationships/hyperlink" Target="https://en.wikipedia.org/wiki/James_Glen" TargetMode="External"/><Relationship Id="rId27" Type="http://schemas.openxmlformats.org/officeDocument/2006/relationships/hyperlink" Target="https://en.wikipedia.org/wiki/John_Archdale" TargetMode="External"/><Relationship Id="rId30" Type="http://schemas.openxmlformats.org/officeDocument/2006/relationships/hyperlink" Target="https://en.wikipedia.org/wiki/John_Ratcliffe_(governor)" TargetMode="External"/><Relationship Id="rId35" Type="http://schemas.openxmlformats.org/officeDocument/2006/relationships/hyperlink" Target="https://en.wikipedia.org/wiki/Joseph_Morton_(governor)" TargetMode="External"/><Relationship Id="rId43" Type="http://schemas.openxmlformats.org/officeDocument/2006/relationships/hyperlink" Target="https://en.wikipedia.org/wiki/Nathaniel_Johnson_(politician)" TargetMode="External"/><Relationship Id="rId48" Type="http://schemas.openxmlformats.org/officeDocument/2006/relationships/hyperlink" Target="https://en.wikipedia.org/wiki/Richard_Kemp_(governor)" TargetMode="External"/><Relationship Id="rId56" Type="http://schemas.openxmlformats.org/officeDocument/2006/relationships/hyperlink" Target="https://en.wikipedia.org/wiki/Sir_William_Gooch,_1st_Baronet" TargetMode="External"/><Relationship Id="rId64" Type="http://schemas.openxmlformats.org/officeDocument/2006/relationships/hyperlink" Target="https://en.wikipedia.org/wiki/Willem_van_Keppel,_2nd_Earl_of_Albemarle" TargetMode="External"/><Relationship Id="rId69" Type="http://schemas.openxmlformats.org/officeDocument/2006/relationships/hyperlink" Target="https://en.wikipedia.org/wiki/William_Lyttelton,_1st_Baron_Lyttelton" TargetMode="External"/><Relationship Id="rId8" Type="http://schemas.openxmlformats.org/officeDocument/2006/relationships/hyperlink" Target="https://en.wikipedia.org/wiki/Edward_Nott" TargetMode="External"/><Relationship Id="rId51" Type="http://schemas.openxmlformats.org/officeDocument/2006/relationships/hyperlink" Target="https://en.wikipedia.org/wiki/Robert_Gibbes" TargetMode="External"/><Relationship Id="rId72" Type="http://schemas.openxmlformats.org/officeDocument/2006/relationships/printerSettings" Target="../printerSettings/printerSettings4.bin"/><Relationship Id="rId3" Type="http://schemas.openxmlformats.org/officeDocument/2006/relationships/hyperlink" Target="https://en.wikipedia.org/wiki/Beverley_Robinson" TargetMode="External"/><Relationship Id="rId12" Type="http://schemas.openxmlformats.org/officeDocument/2006/relationships/hyperlink" Target="https://en.wikipedia.org/wiki/Francis_Wyatt" TargetMode="External"/><Relationship Id="rId17" Type="http://schemas.openxmlformats.org/officeDocument/2006/relationships/hyperlink" Target="https://en.wikipedia.org/wiki/Henry_Laurens" TargetMode="External"/><Relationship Id="rId25" Type="http://schemas.openxmlformats.org/officeDocument/2006/relationships/hyperlink" Target="https://en.wikipedia.org/wiki/Jeffery_Amherst,_1st_Baron_Amherst" TargetMode="External"/><Relationship Id="rId33" Type="http://schemas.openxmlformats.org/officeDocument/2006/relationships/hyperlink" Target="https://en.wikipedia.org/wiki/John_Yeamans" TargetMode="External"/><Relationship Id="rId38" Type="http://schemas.openxmlformats.org/officeDocument/2006/relationships/hyperlink" Target="https://en.wikipedia.org/wiki/Lewis_Morris_(governor)" TargetMode="External"/><Relationship Id="rId46" Type="http://schemas.openxmlformats.org/officeDocument/2006/relationships/hyperlink" Target="https://en.wikipedia.org/wiki/Philip_Ludwell" TargetMode="External"/><Relationship Id="rId59" Type="http://schemas.openxmlformats.org/officeDocument/2006/relationships/hyperlink" Target="https://en.wikipedia.org/wiki/Thomas_Dale" TargetMode="External"/><Relationship Id="rId67" Type="http://schemas.openxmlformats.org/officeDocument/2006/relationships/hyperlink" Target="https://en.wikipedia.org/wiki/William_Bull_II" TargetMode="External"/><Relationship Id="rId20" Type="http://schemas.openxmlformats.org/officeDocument/2006/relationships/hyperlink" Target="https://en.wikipedia.org/wiki/James_Blair_(clergyman)" TargetMode="External"/><Relationship Id="rId41" Type="http://schemas.openxmlformats.org/officeDocument/2006/relationships/hyperlink" Target="https://en.wikipedia.org/wiki/Matthew_Scrivener" TargetMode="External"/><Relationship Id="rId54" Type="http://schemas.openxmlformats.org/officeDocument/2006/relationships/hyperlink" Target="https://en.wikipedia.org/wiki/Robert_Quary" TargetMode="External"/><Relationship Id="rId62" Type="http://schemas.openxmlformats.org/officeDocument/2006/relationships/hyperlink" Target="https://en.wikipedia.org/wiki/Thomas_Smith_(governor_of_South_Carolina)" TargetMode="External"/><Relationship Id="rId70" Type="http://schemas.openxmlformats.org/officeDocument/2006/relationships/hyperlink" Target="https://en.wikipedia.org/wiki/William_Nelson_(governor)" TargetMode="External"/><Relationship Id="rId1" Type="http://schemas.openxmlformats.org/officeDocument/2006/relationships/hyperlink" Target="https://en.wikipedia.org/wiki/Alexander_Spotswood" TargetMode="External"/><Relationship Id="rId6" Type="http://schemas.openxmlformats.org/officeDocument/2006/relationships/hyperlink" Target="https://en.wikipedia.org/wiki/Edward_Byllynge" TargetMode="External"/><Relationship Id="rId15" Type="http://schemas.openxmlformats.org/officeDocument/2006/relationships/hyperlink" Target="https://en.wikipedia.org/wiki/George_Yeardley" TargetMode="External"/><Relationship Id="rId23" Type="http://schemas.openxmlformats.org/officeDocument/2006/relationships/hyperlink" Target="https://en.wikipedia.org/wiki/James_Moore_Jr." TargetMode="External"/><Relationship Id="rId28" Type="http://schemas.openxmlformats.org/officeDocument/2006/relationships/hyperlink" Target="https://en.wikipedia.org/wiki/John_Berry_(New_Jersey_governor)" TargetMode="External"/><Relationship Id="rId36" Type="http://schemas.openxmlformats.org/officeDocument/2006/relationships/hyperlink" Target="https://en.wikipedia.org/wiki/Joseph_West_(politician)" TargetMode="External"/><Relationship Id="rId49" Type="http://schemas.openxmlformats.org/officeDocument/2006/relationships/hyperlink" Target="https://en.wikipedia.org/wiki/Richard_Kyrle" TargetMode="External"/><Relationship Id="rId57" Type="http://schemas.openxmlformats.org/officeDocument/2006/relationships/hyperlink" Target="https://en.wikipedia.org/wiki/Thomas_Boone_(governor)" TargetMode="External"/><Relationship Id="rId10" Type="http://schemas.openxmlformats.org/officeDocument/2006/relationships/hyperlink" Target="https://en.wikipedia.org/wiki/Francis_Moryson" TargetMode="External"/><Relationship Id="rId31" Type="http://schemas.openxmlformats.org/officeDocument/2006/relationships/hyperlink" Target="https://en.wikipedia.org/wiki/John_Smith_(explorer)" TargetMode="External"/><Relationship Id="rId44" Type="http://schemas.openxmlformats.org/officeDocument/2006/relationships/hyperlink" Target="https://en.wikipedia.org/wiki/Nicholas_Spencer" TargetMode="External"/><Relationship Id="rId52" Type="http://schemas.openxmlformats.org/officeDocument/2006/relationships/hyperlink" Target="https://en.wikipedia.org/wiki/Robert_Hunter_(colonial_administrator)" TargetMode="External"/><Relationship Id="rId60" Type="http://schemas.openxmlformats.org/officeDocument/2006/relationships/hyperlink" Target="https://en.wikipedia.org/wiki/Thomas_Gates_(governor)" TargetMode="External"/><Relationship Id="rId65" Type="http://schemas.openxmlformats.org/officeDocument/2006/relationships/hyperlink" Target="https://en.wikipedia.org/wiki/William_Berkeley_(governor)" TargetMode="External"/><Relationship Id="rId4" Type="http://schemas.openxmlformats.org/officeDocument/2006/relationships/hyperlink" Target="https://en.wikipedia.org/wiki/Charles_Craven" TargetMode="External"/><Relationship Id="rId9" Type="http://schemas.openxmlformats.org/officeDocument/2006/relationships/hyperlink" Target="https://en.wikipedia.org/wiki/Francis_Fauquier" TargetMode="External"/><Relationship Id="rId13" Type="http://schemas.openxmlformats.org/officeDocument/2006/relationships/hyperlink" Target="https://en.wikipedia.org/wiki/George_Percy" TargetMode="External"/><Relationship Id="rId18" Type="http://schemas.openxmlformats.org/officeDocument/2006/relationships/hyperlink" Target="https://en.wikipedia.org/wiki/Herbert_Jeffreys_(colonial_governor)" TargetMode="External"/><Relationship Id="rId39" Type="http://schemas.openxmlformats.org/officeDocument/2006/relationships/hyperlink" Target="https://en.wikipedia.org/wiki/Lord_Charles_Montagu" TargetMode="External"/><Relationship Id="rId34" Type="http://schemas.openxmlformats.org/officeDocument/2006/relationships/hyperlink" Target="https://en.wikipedia.org/wiki/Joseph_Blake_(governor)" TargetMode="External"/><Relationship Id="rId50" Type="http://schemas.openxmlformats.org/officeDocument/2006/relationships/hyperlink" Target="https://en.wikipedia.org/wiki/Robert_Dinwiddie" TargetMode="External"/><Relationship Id="rId55" Type="http://schemas.openxmlformats.org/officeDocument/2006/relationships/hyperlink" Target="https://en.wikipedia.org/wiki/Samuel_Argall"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en.wikipedia.org/wiki/Jane_Aitken" TargetMode="External"/><Relationship Id="rId1" Type="http://schemas.openxmlformats.org/officeDocument/2006/relationships/hyperlink" Target="https://en.wikipedia.org/wiki/Thomas_Whitemarsh" TargetMode="External"/></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4B5BD-559C-4E59-AFD6-5B3A8B55F8A0}">
  <sheetPr codeName="links1"/>
  <dimension ref="A2:AC83"/>
  <sheetViews>
    <sheetView topLeftCell="H1" workbookViewId="0">
      <selection activeCell="J76" sqref="J76"/>
    </sheetView>
  </sheetViews>
  <sheetFormatPr defaultRowHeight="14.4" x14ac:dyDescent="0.3"/>
  <cols>
    <col min="1" max="3" width="21" customWidth="1"/>
    <col min="4" max="4" width="56.33203125" bestFit="1" customWidth="1"/>
    <col min="6" max="6" width="43.6640625" customWidth="1"/>
    <col min="7" max="7" width="90.44140625" customWidth="1"/>
    <col min="8" max="8" width="51.44140625" customWidth="1"/>
    <col min="9" max="9" width="17.88671875" bestFit="1" customWidth="1"/>
    <col min="10" max="10" width="28" customWidth="1"/>
    <col min="11" max="11" width="33.109375" customWidth="1"/>
    <col min="13" max="13" width="32.33203125" bestFit="1" customWidth="1"/>
    <col min="16" max="16" width="7.88671875" bestFit="1" customWidth="1"/>
    <col min="17" max="17" width="6" bestFit="1" customWidth="1"/>
    <col min="20" max="20" width="19" bestFit="1" customWidth="1"/>
    <col min="21" max="21" width="10.88671875" bestFit="1" customWidth="1"/>
    <col min="22" max="22" width="14.6640625" bestFit="1" customWidth="1"/>
    <col min="23" max="23" width="16.33203125" bestFit="1" customWidth="1"/>
    <col min="24" max="24" width="8.88671875" bestFit="1" customWidth="1"/>
    <col min="26" max="26" width="12.88671875" bestFit="1" customWidth="1"/>
    <col min="27" max="27" width="11.44140625" bestFit="1" customWidth="1"/>
    <col min="28" max="28" width="53.33203125" customWidth="1"/>
  </cols>
  <sheetData>
    <row r="2" spans="1:29" x14ac:dyDescent="0.3">
      <c r="A2" s="10" t="s">
        <v>606</v>
      </c>
      <c r="B2" s="11" t="s">
        <v>2381</v>
      </c>
      <c r="C2" s="11" t="s">
        <v>2382</v>
      </c>
      <c r="D2" s="11" t="s">
        <v>2330</v>
      </c>
      <c r="E2" s="11" t="s">
        <v>2313</v>
      </c>
      <c r="F2" s="11" t="s">
        <v>2312</v>
      </c>
      <c r="G2" s="11" t="s">
        <v>2315</v>
      </c>
      <c r="H2" s="11" t="s">
        <v>2316</v>
      </c>
      <c r="I2" s="11" t="s">
        <v>2317</v>
      </c>
      <c r="J2" s="11" t="s">
        <v>2318</v>
      </c>
      <c r="K2" s="11" t="s">
        <v>2314</v>
      </c>
      <c r="L2" s="11" t="s">
        <v>2322</v>
      </c>
      <c r="M2" s="11" t="s">
        <v>2319</v>
      </c>
      <c r="N2" s="11" t="s">
        <v>2320</v>
      </c>
      <c r="O2" s="11" t="s">
        <v>2308</v>
      </c>
      <c r="P2" s="11" t="s">
        <v>2323</v>
      </c>
      <c r="Q2" s="12" t="s">
        <v>2309</v>
      </c>
      <c r="R2" s="11" t="s">
        <v>2310</v>
      </c>
      <c r="S2" s="11" t="s">
        <v>2311</v>
      </c>
      <c r="T2" s="11" t="s">
        <v>2321</v>
      </c>
      <c r="U2" s="11" t="s">
        <v>2324</v>
      </c>
      <c r="V2" s="11" t="s">
        <v>2325</v>
      </c>
      <c r="W2" s="11" t="s">
        <v>2326</v>
      </c>
      <c r="X2" s="11" t="s">
        <v>2327</v>
      </c>
      <c r="Y2" s="11" t="s">
        <v>2328</v>
      </c>
      <c r="Z2" s="13" t="s">
        <v>2329</v>
      </c>
      <c r="AA2" s="24" t="s">
        <v>2425</v>
      </c>
      <c r="AB2" s="24" t="s">
        <v>2441</v>
      </c>
      <c r="AC2" s="24" t="s">
        <v>2466</v>
      </c>
    </row>
    <row r="3" spans="1:29" x14ac:dyDescent="0.3">
      <c r="A3" s="17" t="s">
        <v>680</v>
      </c>
      <c r="B3" s="18" t="s">
        <v>2383</v>
      </c>
      <c r="C3" s="18" t="s">
        <v>2384</v>
      </c>
      <c r="D3" s="18" t="s">
        <v>1</v>
      </c>
      <c r="E3" s="18" t="s">
        <v>162</v>
      </c>
      <c r="F3" s="18" t="s">
        <v>497</v>
      </c>
      <c r="G3" s="18" t="s">
        <v>174</v>
      </c>
      <c r="H3" s="18" t="s">
        <v>2342</v>
      </c>
      <c r="I3" s="18" t="s">
        <v>175</v>
      </c>
      <c r="J3" s="18" t="s">
        <v>176</v>
      </c>
      <c r="K3" s="18" t="s">
        <v>500</v>
      </c>
      <c r="L3" s="18" t="s">
        <v>2176</v>
      </c>
      <c r="M3" s="18" t="s">
        <v>580</v>
      </c>
      <c r="N3" s="18" t="s">
        <v>581</v>
      </c>
      <c r="O3" s="18" t="s">
        <v>582</v>
      </c>
      <c r="P3" s="18" t="s">
        <v>566</v>
      </c>
      <c r="Q3" s="18" t="s">
        <v>583</v>
      </c>
      <c r="R3" s="18" t="s">
        <v>584</v>
      </c>
      <c r="S3" s="18" t="s">
        <v>2252</v>
      </c>
      <c r="T3" s="18" t="s">
        <v>2295</v>
      </c>
      <c r="U3" s="18" t="s">
        <v>2253</v>
      </c>
      <c r="V3" s="18"/>
      <c r="W3" s="18" t="s">
        <v>564</v>
      </c>
      <c r="X3" s="18" t="s">
        <v>566</v>
      </c>
      <c r="Y3" s="18" t="s">
        <v>2254</v>
      </c>
      <c r="Z3" s="19" t="s">
        <v>2255</v>
      </c>
      <c r="AA3">
        <v>12840000</v>
      </c>
      <c r="AB3" t="s">
        <v>2442</v>
      </c>
      <c r="AC3">
        <v>7000</v>
      </c>
    </row>
    <row r="4" spans="1:29" x14ac:dyDescent="0.3">
      <c r="A4" s="14" t="s">
        <v>681</v>
      </c>
      <c r="B4" s="15" t="s">
        <v>2383</v>
      </c>
      <c r="C4" s="15" t="s">
        <v>2384</v>
      </c>
      <c r="D4" s="15" t="s">
        <v>25</v>
      </c>
      <c r="E4" s="15" t="s">
        <v>162</v>
      </c>
      <c r="F4" s="15" t="s">
        <v>25</v>
      </c>
      <c r="G4" s="15"/>
      <c r="H4" s="15" t="s">
        <v>2332</v>
      </c>
      <c r="I4" s="15" t="s">
        <v>227</v>
      </c>
      <c r="J4" s="15" t="s">
        <v>176</v>
      </c>
      <c r="K4" s="15" t="s">
        <v>247</v>
      </c>
      <c r="L4" s="15" t="s">
        <v>2169</v>
      </c>
      <c r="M4" s="15" t="s">
        <v>580</v>
      </c>
      <c r="N4" s="15" t="s">
        <v>581</v>
      </c>
      <c r="O4" s="15" t="s">
        <v>582</v>
      </c>
      <c r="P4" s="15" t="s">
        <v>566</v>
      </c>
      <c r="Q4" s="15" t="s">
        <v>583</v>
      </c>
      <c r="R4" s="15" t="s">
        <v>584</v>
      </c>
      <c r="S4" s="15" t="s">
        <v>2252</v>
      </c>
      <c r="T4" s="15" t="s">
        <v>2295</v>
      </c>
      <c r="U4" s="15" t="s">
        <v>2253</v>
      </c>
      <c r="V4" s="15"/>
      <c r="W4" s="15" t="s">
        <v>564</v>
      </c>
      <c r="X4" s="15" t="s">
        <v>566</v>
      </c>
      <c r="Y4" s="15" t="s">
        <v>2254</v>
      </c>
      <c r="Z4" s="16" t="s">
        <v>2255</v>
      </c>
      <c r="AA4">
        <v>12840000</v>
      </c>
      <c r="AB4" t="s">
        <v>2442</v>
      </c>
      <c r="AC4">
        <v>7000</v>
      </c>
    </row>
    <row r="5" spans="1:29" x14ac:dyDescent="0.3">
      <c r="A5" s="17" t="s">
        <v>783</v>
      </c>
      <c r="B5" s="18" t="s">
        <v>2385</v>
      </c>
      <c r="C5" s="18" t="s">
        <v>2386</v>
      </c>
      <c r="D5" s="18" t="s">
        <v>12</v>
      </c>
      <c r="E5" s="18" t="s">
        <v>162</v>
      </c>
      <c r="F5" s="18" t="s">
        <v>213</v>
      </c>
      <c r="G5" s="18" t="s">
        <v>214</v>
      </c>
      <c r="H5" s="18" t="s">
        <v>2353</v>
      </c>
      <c r="I5" s="18">
        <v>1755</v>
      </c>
      <c r="J5" s="18" t="s">
        <v>216</v>
      </c>
      <c r="K5" s="18" t="s">
        <v>516</v>
      </c>
      <c r="L5" s="18" t="s">
        <v>2134</v>
      </c>
      <c r="M5" s="18" t="s">
        <v>554</v>
      </c>
      <c r="N5" s="18" t="s">
        <v>553</v>
      </c>
      <c r="O5" s="18" t="s">
        <v>555</v>
      </c>
      <c r="P5" s="18" t="s">
        <v>556</v>
      </c>
      <c r="Q5" s="18" t="s">
        <v>557</v>
      </c>
      <c r="R5" s="18" t="s">
        <v>558</v>
      </c>
      <c r="S5" s="18" t="s">
        <v>2224</v>
      </c>
      <c r="T5" s="18" t="s">
        <v>2294</v>
      </c>
      <c r="U5" s="18" t="s">
        <v>2226</v>
      </c>
      <c r="V5" s="18" t="s">
        <v>2227</v>
      </c>
      <c r="W5" s="18" t="s">
        <v>555</v>
      </c>
      <c r="X5" s="18" t="s">
        <v>556</v>
      </c>
      <c r="Y5" s="18" t="s">
        <v>2228</v>
      </c>
      <c r="Z5" s="19" t="s">
        <v>2225</v>
      </c>
      <c r="AA5">
        <v>6600000</v>
      </c>
      <c r="AB5" t="s">
        <v>2443</v>
      </c>
      <c r="AC5">
        <v>1000</v>
      </c>
    </row>
    <row r="6" spans="1:29" x14ac:dyDescent="0.3">
      <c r="A6" s="17" t="s">
        <v>776</v>
      </c>
      <c r="B6" s="18" t="s">
        <v>2385</v>
      </c>
      <c r="C6" s="18" t="s">
        <v>2386</v>
      </c>
      <c r="D6" s="18" t="s">
        <v>10</v>
      </c>
      <c r="E6" s="18" t="s">
        <v>162</v>
      </c>
      <c r="F6" s="18" t="s">
        <v>206</v>
      </c>
      <c r="G6" s="18" t="s">
        <v>207</v>
      </c>
      <c r="H6" s="18" t="s">
        <v>2355</v>
      </c>
      <c r="I6" s="18">
        <v>1740</v>
      </c>
      <c r="J6" s="18" t="s">
        <v>209</v>
      </c>
      <c r="K6" s="18" t="s">
        <v>210</v>
      </c>
      <c r="L6" s="18" t="s">
        <v>2196</v>
      </c>
      <c r="M6" s="18" t="s">
        <v>554</v>
      </c>
      <c r="N6" s="18" t="s">
        <v>553</v>
      </c>
      <c r="O6" s="18" t="s">
        <v>555</v>
      </c>
      <c r="P6" s="18" t="s">
        <v>556</v>
      </c>
      <c r="Q6" s="18" t="s">
        <v>557</v>
      </c>
      <c r="R6" s="18" t="s">
        <v>558</v>
      </c>
      <c r="S6" s="18" t="s">
        <v>2224</v>
      </c>
      <c r="T6" s="18" t="s">
        <v>2293</v>
      </c>
      <c r="U6" s="18" t="s">
        <v>2226</v>
      </c>
      <c r="V6" s="18" t="s">
        <v>2227</v>
      </c>
      <c r="W6" s="18" t="s">
        <v>555</v>
      </c>
      <c r="X6" s="18" t="s">
        <v>556</v>
      </c>
      <c r="Y6" s="18" t="s">
        <v>2228</v>
      </c>
      <c r="Z6" s="19" t="s">
        <v>2225</v>
      </c>
      <c r="AA6">
        <v>8800000</v>
      </c>
      <c r="AB6" t="s">
        <v>2444</v>
      </c>
      <c r="AC6">
        <v>1000</v>
      </c>
    </row>
    <row r="7" spans="1:29" x14ac:dyDescent="0.3">
      <c r="A7" s="17" t="s">
        <v>790</v>
      </c>
      <c r="B7" s="18" t="s">
        <v>2385</v>
      </c>
      <c r="C7" s="18" t="s">
        <v>2386</v>
      </c>
      <c r="D7" s="18" t="s">
        <v>51</v>
      </c>
      <c r="E7" s="18" t="s">
        <v>162</v>
      </c>
      <c r="F7" s="18" t="s">
        <v>342</v>
      </c>
      <c r="G7" s="18" t="s">
        <v>2376</v>
      </c>
      <c r="H7" s="18" t="s">
        <v>2341</v>
      </c>
      <c r="I7" s="18" t="s">
        <v>2279</v>
      </c>
      <c r="J7" s="18" t="s">
        <v>481</v>
      </c>
      <c r="K7" s="18" t="s">
        <v>343</v>
      </c>
      <c r="L7" s="18" t="s">
        <v>2170</v>
      </c>
      <c r="M7" s="18" t="s">
        <v>554</v>
      </c>
      <c r="N7" s="18" t="s">
        <v>553</v>
      </c>
      <c r="O7" s="18" t="s">
        <v>555</v>
      </c>
      <c r="P7" s="18" t="s">
        <v>556</v>
      </c>
      <c r="Q7" s="18" t="s">
        <v>557</v>
      </c>
      <c r="R7" s="18" t="s">
        <v>558</v>
      </c>
      <c r="S7" s="18" t="s">
        <v>2224</v>
      </c>
      <c r="T7" s="18" t="s">
        <v>2293</v>
      </c>
      <c r="U7" s="18" t="s">
        <v>2226</v>
      </c>
      <c r="V7" s="18" t="s">
        <v>2227</v>
      </c>
      <c r="W7" s="18" t="s">
        <v>555</v>
      </c>
      <c r="X7" s="18" t="s">
        <v>556</v>
      </c>
      <c r="Y7" s="18" t="s">
        <v>2228</v>
      </c>
      <c r="Z7" s="19" t="s">
        <v>2225</v>
      </c>
      <c r="AA7">
        <v>8800000</v>
      </c>
      <c r="AB7" t="s">
        <v>2444</v>
      </c>
      <c r="AC7">
        <v>1000</v>
      </c>
    </row>
    <row r="8" spans="1:29" x14ac:dyDescent="0.3">
      <c r="A8" s="17" t="s">
        <v>804</v>
      </c>
      <c r="B8" s="18" t="s">
        <v>2385</v>
      </c>
      <c r="C8" s="18" t="s">
        <v>2386</v>
      </c>
      <c r="D8" s="18" t="s">
        <v>57</v>
      </c>
      <c r="E8" s="18" t="s">
        <v>167</v>
      </c>
      <c r="F8" s="18" t="s">
        <v>359</v>
      </c>
      <c r="G8" s="18" t="s">
        <v>2377</v>
      </c>
      <c r="H8" s="18" t="s">
        <v>2349</v>
      </c>
      <c r="I8" s="18">
        <v>1863</v>
      </c>
      <c r="J8" s="18" t="s">
        <v>362</v>
      </c>
      <c r="K8" s="18" t="s">
        <v>456</v>
      </c>
      <c r="L8" s="18" t="s">
        <v>2194</v>
      </c>
      <c r="M8" s="18" t="s">
        <v>554</v>
      </c>
      <c r="N8" s="18" t="s">
        <v>553</v>
      </c>
      <c r="O8" s="18" t="s">
        <v>555</v>
      </c>
      <c r="P8" s="18" t="s">
        <v>556</v>
      </c>
      <c r="Q8" s="18" t="s">
        <v>557</v>
      </c>
      <c r="R8" s="18" t="s">
        <v>558</v>
      </c>
      <c r="S8" s="18" t="s">
        <v>2224</v>
      </c>
      <c r="T8" s="18" t="s">
        <v>2293</v>
      </c>
      <c r="U8" s="18" t="s">
        <v>2226</v>
      </c>
      <c r="V8" s="18" t="s">
        <v>2227</v>
      </c>
      <c r="W8" s="18" t="s">
        <v>555</v>
      </c>
      <c r="X8" s="18" t="s">
        <v>556</v>
      </c>
      <c r="Y8" s="18" t="s">
        <v>2228</v>
      </c>
      <c r="Z8" s="19" t="s">
        <v>2225</v>
      </c>
      <c r="AA8">
        <v>8800000</v>
      </c>
      <c r="AB8" t="s">
        <v>2444</v>
      </c>
      <c r="AC8">
        <v>1000</v>
      </c>
    </row>
    <row r="9" spans="1:29" x14ac:dyDescent="0.3">
      <c r="A9" s="14" t="s">
        <v>797</v>
      </c>
      <c r="B9" s="15" t="s">
        <v>2387</v>
      </c>
      <c r="C9" s="15" t="s">
        <v>2388</v>
      </c>
      <c r="D9" s="15" t="s">
        <v>67</v>
      </c>
      <c r="E9" s="15" t="s">
        <v>162</v>
      </c>
      <c r="F9" s="15" t="s">
        <v>223</v>
      </c>
      <c r="G9" s="15" t="s">
        <v>405</v>
      </c>
      <c r="H9" s="15" t="s">
        <v>2354</v>
      </c>
      <c r="I9" s="15" t="s">
        <v>401</v>
      </c>
      <c r="J9" s="15" t="s">
        <v>2270</v>
      </c>
      <c r="K9" s="15" t="s">
        <v>507</v>
      </c>
      <c r="L9" s="15" t="s">
        <v>2197</v>
      </c>
      <c r="M9" s="15" t="s">
        <v>554</v>
      </c>
      <c r="N9" s="15" t="s">
        <v>553</v>
      </c>
      <c r="O9" s="15" t="s">
        <v>555</v>
      </c>
      <c r="P9" s="15" t="s">
        <v>556</v>
      </c>
      <c r="Q9" s="15" t="s">
        <v>557</v>
      </c>
      <c r="R9" s="15" t="s">
        <v>558</v>
      </c>
      <c r="S9" s="15" t="s">
        <v>2224</v>
      </c>
      <c r="T9" s="15" t="s">
        <v>2293</v>
      </c>
      <c r="U9" s="15" t="s">
        <v>2226</v>
      </c>
      <c r="V9" s="15" t="s">
        <v>2227</v>
      </c>
      <c r="W9" s="15" t="s">
        <v>555</v>
      </c>
      <c r="X9" s="15" t="s">
        <v>556</v>
      </c>
      <c r="Y9" s="15" t="s">
        <v>2228</v>
      </c>
      <c r="Z9" s="16" t="s">
        <v>2225</v>
      </c>
      <c r="AA9">
        <v>8800000</v>
      </c>
      <c r="AB9" t="s">
        <v>2444</v>
      </c>
      <c r="AC9">
        <v>1000</v>
      </c>
    </row>
    <row r="10" spans="1:29" x14ac:dyDescent="0.3">
      <c r="A10" s="17" t="s">
        <v>2022</v>
      </c>
      <c r="B10" s="18" t="s">
        <v>2389</v>
      </c>
      <c r="C10" s="18" t="s">
        <v>2390</v>
      </c>
      <c r="D10" s="18" t="s">
        <v>43</v>
      </c>
      <c r="E10" s="18" t="s">
        <v>162</v>
      </c>
      <c r="F10" s="18" t="s">
        <v>312</v>
      </c>
      <c r="G10" s="18"/>
      <c r="H10" s="18" t="s">
        <v>2352</v>
      </c>
      <c r="I10" s="18" t="s">
        <v>314</v>
      </c>
      <c r="J10" s="18" t="s">
        <v>315</v>
      </c>
      <c r="K10" s="18" t="s">
        <v>316</v>
      </c>
      <c r="L10" s="18" t="s">
        <v>2189</v>
      </c>
      <c r="M10" s="18" t="s">
        <v>585</v>
      </c>
      <c r="N10" s="18" t="s">
        <v>586</v>
      </c>
      <c r="O10" s="18" t="s">
        <v>587</v>
      </c>
      <c r="P10" s="18" t="s">
        <v>571</v>
      </c>
      <c r="Q10" s="21" t="s">
        <v>588</v>
      </c>
      <c r="R10" s="18" t="s">
        <v>589</v>
      </c>
      <c r="S10" s="18" t="s">
        <v>2213</v>
      </c>
      <c r="T10" s="18" t="s">
        <v>2307</v>
      </c>
      <c r="U10" s="18" t="s">
        <v>2248</v>
      </c>
      <c r="V10" s="18"/>
      <c r="W10" s="18" t="s">
        <v>2247</v>
      </c>
      <c r="X10" s="18" t="s">
        <v>543</v>
      </c>
      <c r="Y10" s="18" t="s">
        <v>2251</v>
      </c>
      <c r="Z10" s="19" t="s">
        <v>2250</v>
      </c>
      <c r="AA10">
        <v>9630000</v>
      </c>
      <c r="AB10" t="s">
        <v>2445</v>
      </c>
      <c r="AC10">
        <v>6000</v>
      </c>
    </row>
    <row r="11" spans="1:29" x14ac:dyDescent="0.3">
      <c r="A11" s="17" t="s">
        <v>2023</v>
      </c>
      <c r="B11" s="18" t="s">
        <v>2389</v>
      </c>
      <c r="C11" s="18" t="s">
        <v>2390</v>
      </c>
      <c r="D11" s="18" t="s">
        <v>11</v>
      </c>
      <c r="E11" s="18" t="s">
        <v>162</v>
      </c>
      <c r="F11" s="18" t="s">
        <v>11</v>
      </c>
      <c r="G11" s="18" t="s">
        <v>211</v>
      </c>
      <c r="H11" s="18" t="s">
        <v>2335</v>
      </c>
      <c r="I11" s="18" t="s">
        <v>212</v>
      </c>
      <c r="J11" s="18" t="s">
        <v>176</v>
      </c>
      <c r="K11" s="18" t="s">
        <v>501</v>
      </c>
      <c r="L11" s="18" t="s">
        <v>2152</v>
      </c>
      <c r="M11" s="18" t="s">
        <v>585</v>
      </c>
      <c r="N11" s="18" t="s">
        <v>586</v>
      </c>
      <c r="O11" s="18" t="s">
        <v>587</v>
      </c>
      <c r="P11" s="18" t="s">
        <v>571</v>
      </c>
      <c r="Q11" s="21" t="s">
        <v>588</v>
      </c>
      <c r="R11" s="18" t="s">
        <v>589</v>
      </c>
      <c r="S11" s="18" t="s">
        <v>2213</v>
      </c>
      <c r="T11" s="18" t="s">
        <v>2307</v>
      </c>
      <c r="U11" s="18" t="s">
        <v>2248</v>
      </c>
      <c r="V11" s="18"/>
      <c r="W11" s="18" t="s">
        <v>2247</v>
      </c>
      <c r="X11" s="18" t="s">
        <v>543</v>
      </c>
      <c r="Y11" s="18" t="s">
        <v>2251</v>
      </c>
      <c r="Z11" s="19" t="s">
        <v>2250</v>
      </c>
      <c r="AA11">
        <v>9630000</v>
      </c>
      <c r="AB11" t="s">
        <v>2445</v>
      </c>
      <c r="AC11">
        <v>6000</v>
      </c>
    </row>
    <row r="12" spans="1:29" x14ac:dyDescent="0.3">
      <c r="A12" s="14" t="s">
        <v>2020</v>
      </c>
      <c r="B12" s="15" t="s">
        <v>2389</v>
      </c>
      <c r="C12" s="15" t="s">
        <v>2390</v>
      </c>
      <c r="D12" s="15" t="s">
        <v>9</v>
      </c>
      <c r="E12" s="15" t="s">
        <v>162</v>
      </c>
      <c r="F12" s="15" t="s">
        <v>202</v>
      </c>
      <c r="G12" s="15"/>
      <c r="H12" s="15" t="s">
        <v>2338</v>
      </c>
      <c r="I12" s="15" t="s">
        <v>204</v>
      </c>
      <c r="J12" s="15" t="s">
        <v>383</v>
      </c>
      <c r="K12" s="15" t="s">
        <v>205</v>
      </c>
      <c r="L12" s="15" t="s">
        <v>2195</v>
      </c>
      <c r="M12" s="15" t="s">
        <v>585</v>
      </c>
      <c r="N12" s="15" t="s">
        <v>586</v>
      </c>
      <c r="O12" s="15" t="s">
        <v>587</v>
      </c>
      <c r="P12" s="15" t="s">
        <v>571</v>
      </c>
      <c r="Q12" s="22" t="s">
        <v>588</v>
      </c>
      <c r="R12" s="15" t="s">
        <v>589</v>
      </c>
      <c r="S12" s="15" t="s">
        <v>2213</v>
      </c>
      <c r="T12" s="15" t="s">
        <v>2307</v>
      </c>
      <c r="U12" s="15" t="s">
        <v>2248</v>
      </c>
      <c r="V12" s="15"/>
      <c r="W12" s="15" t="s">
        <v>2247</v>
      </c>
      <c r="X12" s="15" t="s">
        <v>543</v>
      </c>
      <c r="Y12" s="15" t="s">
        <v>2251</v>
      </c>
      <c r="Z12" s="16" t="s">
        <v>2250</v>
      </c>
      <c r="AA12">
        <v>9630000</v>
      </c>
      <c r="AB12" t="s">
        <v>2445</v>
      </c>
      <c r="AC12">
        <v>6000</v>
      </c>
    </row>
    <row r="13" spans="1:29" x14ac:dyDescent="0.3">
      <c r="A13" s="14" t="s">
        <v>682</v>
      </c>
      <c r="B13" s="15" t="s">
        <v>2391</v>
      </c>
      <c r="C13" s="15" t="s">
        <v>2392</v>
      </c>
      <c r="D13" s="15" t="s">
        <v>76</v>
      </c>
      <c r="E13" s="15" t="s">
        <v>162</v>
      </c>
      <c r="F13" s="15" t="s">
        <v>421</v>
      </c>
      <c r="G13" s="15"/>
      <c r="H13" s="15" t="s">
        <v>2364</v>
      </c>
      <c r="I13" s="15" t="s">
        <v>425</v>
      </c>
      <c r="J13" s="15" t="s">
        <v>426</v>
      </c>
      <c r="K13" s="15" t="s">
        <v>427</v>
      </c>
      <c r="L13" s="15" t="s">
        <v>2141</v>
      </c>
      <c r="M13" s="15" t="s">
        <v>535</v>
      </c>
      <c r="N13" s="15" t="s">
        <v>538</v>
      </c>
      <c r="O13" s="15" t="s">
        <v>536</v>
      </c>
      <c r="P13" s="15" t="s">
        <v>537</v>
      </c>
      <c r="Q13" s="15">
        <v>12458</v>
      </c>
      <c r="R13" s="15" t="s">
        <v>539</v>
      </c>
      <c r="S13" s="15" t="s">
        <v>2239</v>
      </c>
      <c r="T13" s="15" t="s">
        <v>2303</v>
      </c>
      <c r="U13" s="15" t="s">
        <v>2240</v>
      </c>
      <c r="V13" s="15" t="s">
        <v>2241</v>
      </c>
      <c r="W13" s="15" t="s">
        <v>254</v>
      </c>
      <c r="X13" s="15" t="s">
        <v>537</v>
      </c>
      <c r="Y13" s="15">
        <v>10006</v>
      </c>
      <c r="Z13" s="16" t="s">
        <v>2242</v>
      </c>
      <c r="AA13">
        <v>11970000</v>
      </c>
      <c r="AB13" t="s">
        <v>2446</v>
      </c>
      <c r="AC13">
        <v>3000</v>
      </c>
    </row>
    <row r="14" spans="1:29" x14ac:dyDescent="0.3">
      <c r="A14" s="17" t="s">
        <v>684</v>
      </c>
      <c r="B14" s="18" t="s">
        <v>2391</v>
      </c>
      <c r="C14" s="18" t="s">
        <v>2392</v>
      </c>
      <c r="D14" s="18" t="s">
        <v>40</v>
      </c>
      <c r="E14" s="18" t="s">
        <v>162</v>
      </c>
      <c r="F14" s="18" t="s">
        <v>232</v>
      </c>
      <c r="G14" s="18"/>
      <c r="H14" s="18" t="s">
        <v>2332</v>
      </c>
      <c r="I14" s="18" t="s">
        <v>172</v>
      </c>
      <c r="J14" s="18" t="s">
        <v>302</v>
      </c>
      <c r="K14" s="18" t="s">
        <v>303</v>
      </c>
      <c r="L14" s="18" t="s">
        <v>2198</v>
      </c>
      <c r="M14" s="18" t="s">
        <v>535</v>
      </c>
      <c r="N14" s="18" t="s">
        <v>538</v>
      </c>
      <c r="O14" s="18" t="s">
        <v>536</v>
      </c>
      <c r="P14" s="18" t="s">
        <v>537</v>
      </c>
      <c r="Q14" s="18">
        <v>12458</v>
      </c>
      <c r="R14" s="18" t="s">
        <v>539</v>
      </c>
      <c r="S14" s="18" t="s">
        <v>2239</v>
      </c>
      <c r="T14" s="18" t="s">
        <v>2303</v>
      </c>
      <c r="U14" s="18" t="s">
        <v>2240</v>
      </c>
      <c r="V14" s="18" t="s">
        <v>2241</v>
      </c>
      <c r="W14" s="18" t="s">
        <v>254</v>
      </c>
      <c r="X14" s="18" t="s">
        <v>537</v>
      </c>
      <c r="Y14" s="18">
        <v>10006</v>
      </c>
      <c r="Z14" s="19" t="s">
        <v>2242</v>
      </c>
      <c r="AA14">
        <v>11970000</v>
      </c>
      <c r="AB14" t="s">
        <v>2446</v>
      </c>
      <c r="AC14">
        <v>3000</v>
      </c>
    </row>
    <row r="15" spans="1:29" x14ac:dyDescent="0.3">
      <c r="A15" s="14" t="s">
        <v>683</v>
      </c>
      <c r="B15" s="15" t="s">
        <v>2391</v>
      </c>
      <c r="C15" s="15" t="s">
        <v>2392</v>
      </c>
      <c r="D15" s="15" t="s">
        <v>47</v>
      </c>
      <c r="E15" s="15" t="s">
        <v>162</v>
      </c>
      <c r="F15" s="15" t="s">
        <v>287</v>
      </c>
      <c r="G15" s="15" t="s">
        <v>2372</v>
      </c>
      <c r="H15" s="15" t="s">
        <v>2359</v>
      </c>
      <c r="I15" s="15" t="s">
        <v>331</v>
      </c>
      <c r="J15" s="15" t="s">
        <v>332</v>
      </c>
      <c r="K15" s="15" t="s">
        <v>333</v>
      </c>
      <c r="L15" s="15" t="s">
        <v>2164</v>
      </c>
      <c r="M15" s="15" t="s">
        <v>535</v>
      </c>
      <c r="N15" s="15" t="s">
        <v>538</v>
      </c>
      <c r="O15" s="15" t="s">
        <v>536</v>
      </c>
      <c r="P15" s="15" t="s">
        <v>537</v>
      </c>
      <c r="Q15" s="15">
        <v>12458</v>
      </c>
      <c r="R15" s="15" t="s">
        <v>539</v>
      </c>
      <c r="S15" s="15" t="s">
        <v>2239</v>
      </c>
      <c r="T15" s="15" t="s">
        <v>2303</v>
      </c>
      <c r="U15" s="15" t="s">
        <v>2240</v>
      </c>
      <c r="V15" s="15" t="s">
        <v>2241</v>
      </c>
      <c r="W15" s="15" t="s">
        <v>254</v>
      </c>
      <c r="X15" s="15" t="s">
        <v>537</v>
      </c>
      <c r="Y15" s="15">
        <v>10006</v>
      </c>
      <c r="Z15" s="16" t="s">
        <v>2242</v>
      </c>
      <c r="AA15">
        <v>11970000</v>
      </c>
      <c r="AB15" t="s">
        <v>2446</v>
      </c>
      <c r="AC15">
        <v>3000</v>
      </c>
    </row>
    <row r="16" spans="1:29" x14ac:dyDescent="0.3">
      <c r="A16" s="14" t="s">
        <v>1349</v>
      </c>
      <c r="B16" s="15" t="s">
        <v>2393</v>
      </c>
      <c r="C16" s="15" t="s">
        <v>2394</v>
      </c>
      <c r="D16" s="15" t="s">
        <v>3</v>
      </c>
      <c r="E16" s="15" t="s">
        <v>167</v>
      </c>
      <c r="F16" s="15" t="s">
        <v>3</v>
      </c>
      <c r="G16" s="15" t="s">
        <v>178</v>
      </c>
      <c r="H16" s="15" t="s">
        <v>2361</v>
      </c>
      <c r="I16" s="15">
        <v>1782</v>
      </c>
      <c r="J16" s="15" t="s">
        <v>2268</v>
      </c>
      <c r="K16" s="15" t="s">
        <v>180</v>
      </c>
      <c r="L16" s="15" t="s">
        <v>2162</v>
      </c>
      <c r="M16" s="15" t="s">
        <v>560</v>
      </c>
      <c r="N16" s="15" t="s">
        <v>559</v>
      </c>
      <c r="O16" s="15" t="s">
        <v>525</v>
      </c>
      <c r="P16" s="15" t="s">
        <v>526</v>
      </c>
      <c r="Q16" s="15" t="s">
        <v>552</v>
      </c>
      <c r="R16" s="15" t="s">
        <v>561</v>
      </c>
      <c r="S16" s="15" t="s">
        <v>2219</v>
      </c>
      <c r="T16" s="15" t="s">
        <v>2297</v>
      </c>
      <c r="U16" s="15" t="s">
        <v>2220</v>
      </c>
      <c r="V16" s="15" t="s">
        <v>2229</v>
      </c>
      <c r="W16" s="15" t="s">
        <v>2221</v>
      </c>
      <c r="X16" s="15" t="s">
        <v>526</v>
      </c>
      <c r="Y16" s="15" t="s">
        <v>2222</v>
      </c>
      <c r="Z16" s="16" t="s">
        <v>2223</v>
      </c>
      <c r="AA16">
        <v>13900000</v>
      </c>
      <c r="AB16" t="s">
        <v>2447</v>
      </c>
      <c r="AC16">
        <v>0</v>
      </c>
    </row>
    <row r="17" spans="1:29" x14ac:dyDescent="0.3">
      <c r="A17" s="14" t="s">
        <v>1379</v>
      </c>
      <c r="B17" s="15" t="s">
        <v>2393</v>
      </c>
      <c r="C17" s="15" t="s">
        <v>2394</v>
      </c>
      <c r="D17" s="15" t="s">
        <v>14</v>
      </c>
      <c r="E17" s="15" t="s">
        <v>162</v>
      </c>
      <c r="F17" s="15" t="s">
        <v>219</v>
      </c>
      <c r="G17" s="15" t="s">
        <v>220</v>
      </c>
      <c r="H17" s="15" t="s">
        <v>2360</v>
      </c>
      <c r="I17" s="15" t="s">
        <v>221</v>
      </c>
      <c r="J17" s="15" t="s">
        <v>222</v>
      </c>
      <c r="K17" s="15" t="s">
        <v>468</v>
      </c>
      <c r="L17" s="15" t="s">
        <v>2171</v>
      </c>
      <c r="M17" s="15" t="s">
        <v>560</v>
      </c>
      <c r="N17" s="15" t="s">
        <v>559</v>
      </c>
      <c r="O17" s="15" t="s">
        <v>525</v>
      </c>
      <c r="P17" s="15" t="s">
        <v>526</v>
      </c>
      <c r="Q17" s="15" t="s">
        <v>552</v>
      </c>
      <c r="R17" s="15" t="s">
        <v>561</v>
      </c>
      <c r="S17" s="15" t="s">
        <v>2219</v>
      </c>
      <c r="T17" s="15" t="s">
        <v>2298</v>
      </c>
      <c r="U17" s="15" t="s">
        <v>2220</v>
      </c>
      <c r="V17" s="15" t="s">
        <v>2229</v>
      </c>
      <c r="W17" s="15" t="s">
        <v>2221</v>
      </c>
      <c r="X17" s="15" t="s">
        <v>526</v>
      </c>
      <c r="Y17" s="15" t="s">
        <v>2222</v>
      </c>
      <c r="Z17" s="16" t="s">
        <v>2223</v>
      </c>
      <c r="AA17">
        <v>8500000</v>
      </c>
      <c r="AB17" t="s">
        <v>2448</v>
      </c>
      <c r="AC17">
        <v>7000</v>
      </c>
    </row>
    <row r="18" spans="1:29" x14ac:dyDescent="0.3">
      <c r="A18" s="14" t="s">
        <v>1357</v>
      </c>
      <c r="B18" s="15" t="s">
        <v>2393</v>
      </c>
      <c r="C18" s="15" t="s">
        <v>2394</v>
      </c>
      <c r="D18" s="15" t="s">
        <v>35</v>
      </c>
      <c r="E18" s="15" t="s">
        <v>162</v>
      </c>
      <c r="F18" s="15" t="s">
        <v>280</v>
      </c>
      <c r="G18" s="15" t="s">
        <v>281</v>
      </c>
      <c r="H18" s="15" t="s">
        <v>2342</v>
      </c>
      <c r="I18" s="15">
        <v>1776</v>
      </c>
      <c r="J18" s="15" t="s">
        <v>176</v>
      </c>
      <c r="K18" s="15" t="s">
        <v>282</v>
      </c>
      <c r="L18" s="15" t="s">
        <v>2177</v>
      </c>
      <c r="M18" s="15" t="s">
        <v>560</v>
      </c>
      <c r="N18" s="15" t="s">
        <v>559</v>
      </c>
      <c r="O18" s="15" t="s">
        <v>525</v>
      </c>
      <c r="P18" s="15" t="s">
        <v>526</v>
      </c>
      <c r="Q18" s="15" t="s">
        <v>552</v>
      </c>
      <c r="R18" s="15" t="s">
        <v>561</v>
      </c>
      <c r="S18" s="15" t="s">
        <v>2219</v>
      </c>
      <c r="T18" s="15" t="s">
        <v>2298</v>
      </c>
      <c r="U18" s="15" t="s">
        <v>2220</v>
      </c>
      <c r="V18" s="15" t="s">
        <v>2229</v>
      </c>
      <c r="W18" s="15" t="s">
        <v>2221</v>
      </c>
      <c r="X18" s="15" t="s">
        <v>526</v>
      </c>
      <c r="Y18" s="15" t="s">
        <v>2222</v>
      </c>
      <c r="Z18" s="16" t="s">
        <v>2223</v>
      </c>
      <c r="AA18">
        <v>8500000</v>
      </c>
      <c r="AB18" t="s">
        <v>2448</v>
      </c>
      <c r="AC18">
        <v>7000</v>
      </c>
    </row>
    <row r="19" spans="1:29" x14ac:dyDescent="0.3">
      <c r="A19" s="14" t="s">
        <v>1363</v>
      </c>
      <c r="B19" s="15" t="s">
        <v>2393</v>
      </c>
      <c r="C19" s="15" t="s">
        <v>2394</v>
      </c>
      <c r="D19" s="15" t="s">
        <v>78</v>
      </c>
      <c r="E19" s="15" t="s">
        <v>162</v>
      </c>
      <c r="F19" s="15" t="s">
        <v>232</v>
      </c>
      <c r="G19" s="15" t="s">
        <v>2278</v>
      </c>
      <c r="H19" s="15" t="s">
        <v>2335</v>
      </c>
      <c r="I19" s="15" t="s">
        <v>331</v>
      </c>
      <c r="J19" s="15" t="s">
        <v>431</v>
      </c>
      <c r="K19" s="15" t="s">
        <v>432</v>
      </c>
      <c r="L19" s="15" t="s">
        <v>2149</v>
      </c>
      <c r="M19" s="15" t="s">
        <v>560</v>
      </c>
      <c r="N19" s="15" t="s">
        <v>559</v>
      </c>
      <c r="O19" s="15" t="s">
        <v>525</v>
      </c>
      <c r="P19" s="15" t="s">
        <v>526</v>
      </c>
      <c r="Q19" s="15" t="s">
        <v>552</v>
      </c>
      <c r="R19" s="15" t="s">
        <v>561</v>
      </c>
      <c r="S19" s="15" t="s">
        <v>2219</v>
      </c>
      <c r="T19" s="15" t="s">
        <v>2298</v>
      </c>
      <c r="U19" s="15" t="s">
        <v>2220</v>
      </c>
      <c r="V19" s="15" t="s">
        <v>2229</v>
      </c>
      <c r="W19" s="15" t="s">
        <v>2221</v>
      </c>
      <c r="X19" s="15" t="s">
        <v>526</v>
      </c>
      <c r="Y19" s="15" t="s">
        <v>2222</v>
      </c>
      <c r="Z19" s="16" t="s">
        <v>2223</v>
      </c>
      <c r="AA19">
        <v>8500000</v>
      </c>
      <c r="AB19" t="s">
        <v>2448</v>
      </c>
      <c r="AC19">
        <v>7000</v>
      </c>
    </row>
    <row r="20" spans="1:29" x14ac:dyDescent="0.3">
      <c r="A20" s="14" t="s">
        <v>1371</v>
      </c>
      <c r="B20" s="15" t="s">
        <v>2393</v>
      </c>
      <c r="C20" s="15" t="s">
        <v>2394</v>
      </c>
      <c r="D20" s="15" t="s">
        <v>45</v>
      </c>
      <c r="E20" s="15" t="s">
        <v>167</v>
      </c>
      <c r="F20" s="15" t="s">
        <v>322</v>
      </c>
      <c r="G20" s="15" t="s">
        <v>2277</v>
      </c>
      <c r="H20" s="15" t="s">
        <v>2337</v>
      </c>
      <c r="I20" s="15" t="s">
        <v>2280</v>
      </c>
      <c r="J20" s="15" t="s">
        <v>324</v>
      </c>
      <c r="K20" s="15" t="s">
        <v>453</v>
      </c>
      <c r="L20" s="15" t="s">
        <v>2144</v>
      </c>
      <c r="M20" s="15" t="s">
        <v>560</v>
      </c>
      <c r="N20" s="15" t="s">
        <v>559</v>
      </c>
      <c r="O20" s="15" t="s">
        <v>525</v>
      </c>
      <c r="P20" s="15" t="s">
        <v>526</v>
      </c>
      <c r="Q20" s="15" t="s">
        <v>552</v>
      </c>
      <c r="R20" s="15" t="s">
        <v>561</v>
      </c>
      <c r="S20" s="15" t="s">
        <v>2219</v>
      </c>
      <c r="T20" s="15" t="s">
        <v>2297</v>
      </c>
      <c r="U20" s="15" t="s">
        <v>2220</v>
      </c>
      <c r="V20" s="15" t="s">
        <v>2229</v>
      </c>
      <c r="W20" s="15" t="s">
        <v>2221</v>
      </c>
      <c r="X20" s="15" t="s">
        <v>526</v>
      </c>
      <c r="Y20" s="15" t="s">
        <v>2222</v>
      </c>
      <c r="Z20" s="16" t="s">
        <v>2223</v>
      </c>
      <c r="AA20">
        <v>13900000</v>
      </c>
      <c r="AB20" t="s">
        <v>2447</v>
      </c>
      <c r="AC20">
        <v>0</v>
      </c>
    </row>
    <row r="21" spans="1:29" x14ac:dyDescent="0.3">
      <c r="A21" s="17" t="s">
        <v>2018</v>
      </c>
      <c r="B21" s="18" t="s">
        <v>2395</v>
      </c>
      <c r="C21" s="18" t="s">
        <v>2396</v>
      </c>
      <c r="D21" s="18" t="s">
        <v>77</v>
      </c>
      <c r="E21" s="18" t="s">
        <v>162</v>
      </c>
      <c r="F21" s="18" t="s">
        <v>428</v>
      </c>
      <c r="G21" s="18" t="s">
        <v>429</v>
      </c>
      <c r="H21" s="18" t="s">
        <v>2342</v>
      </c>
      <c r="I21" s="18" t="s">
        <v>430</v>
      </c>
      <c r="J21" s="18" t="s">
        <v>423</v>
      </c>
      <c r="K21" s="18" t="s">
        <v>495</v>
      </c>
      <c r="L21" s="18" t="s">
        <v>2179</v>
      </c>
      <c r="M21" s="18" t="s">
        <v>531</v>
      </c>
      <c r="N21" s="18" t="s">
        <v>533</v>
      </c>
      <c r="O21" s="18" t="s">
        <v>534</v>
      </c>
      <c r="P21" s="18" t="s">
        <v>526</v>
      </c>
      <c r="Q21" s="18">
        <v>18902</v>
      </c>
      <c r="R21" s="18" t="s">
        <v>532</v>
      </c>
      <c r="S21" s="18" t="s">
        <v>2219</v>
      </c>
      <c r="T21" s="18" t="s">
        <v>2299</v>
      </c>
      <c r="U21" s="18" t="s">
        <v>2220</v>
      </c>
      <c r="V21" s="18" t="s">
        <v>2229</v>
      </c>
      <c r="W21" s="18" t="s">
        <v>2221</v>
      </c>
      <c r="X21" s="18" t="s">
        <v>526</v>
      </c>
      <c r="Y21" s="18" t="s">
        <v>2222</v>
      </c>
      <c r="Z21" s="19" t="s">
        <v>2223</v>
      </c>
      <c r="AA21">
        <v>8940000</v>
      </c>
      <c r="AB21" t="s">
        <v>2449</v>
      </c>
      <c r="AC21">
        <v>5000</v>
      </c>
    </row>
    <row r="22" spans="1:29" x14ac:dyDescent="0.3">
      <c r="A22" s="17" t="s">
        <v>2017</v>
      </c>
      <c r="B22" s="18" t="s">
        <v>2395</v>
      </c>
      <c r="C22" s="18" t="s">
        <v>2396</v>
      </c>
      <c r="D22" s="18" t="s">
        <v>65</v>
      </c>
      <c r="E22" s="18" t="s">
        <v>162</v>
      </c>
      <c r="F22" s="18" t="s">
        <v>342</v>
      </c>
      <c r="G22" s="18" t="s">
        <v>2369</v>
      </c>
      <c r="H22" s="18" t="s">
        <v>2335</v>
      </c>
      <c r="I22" s="18" t="s">
        <v>392</v>
      </c>
      <c r="J22" s="18" t="s">
        <v>393</v>
      </c>
      <c r="K22" s="18" t="s">
        <v>394</v>
      </c>
      <c r="L22" s="18" t="s">
        <v>2150</v>
      </c>
      <c r="M22" s="18" t="s">
        <v>531</v>
      </c>
      <c r="N22" s="18" t="s">
        <v>533</v>
      </c>
      <c r="O22" s="18" t="s">
        <v>534</v>
      </c>
      <c r="P22" s="18" t="s">
        <v>526</v>
      </c>
      <c r="Q22" s="18">
        <v>18902</v>
      </c>
      <c r="R22" s="18" t="s">
        <v>532</v>
      </c>
      <c r="S22" s="18" t="s">
        <v>2219</v>
      </c>
      <c r="T22" s="18" t="s">
        <v>2299</v>
      </c>
      <c r="U22" s="18" t="s">
        <v>2220</v>
      </c>
      <c r="V22" s="18" t="s">
        <v>2229</v>
      </c>
      <c r="W22" s="18" t="s">
        <v>2221</v>
      </c>
      <c r="X22" s="18" t="s">
        <v>526</v>
      </c>
      <c r="Y22" s="18" t="s">
        <v>2222</v>
      </c>
      <c r="Z22" s="19" t="s">
        <v>2223</v>
      </c>
      <c r="AA22">
        <v>8940000</v>
      </c>
      <c r="AB22" t="s">
        <v>2449</v>
      </c>
      <c r="AC22">
        <v>5000</v>
      </c>
    </row>
    <row r="23" spans="1:29" x14ac:dyDescent="0.3">
      <c r="A23" s="17" t="s">
        <v>2019</v>
      </c>
      <c r="B23" s="18" t="s">
        <v>2395</v>
      </c>
      <c r="C23" s="18" t="s">
        <v>2396</v>
      </c>
      <c r="D23" s="18" t="s">
        <v>18</v>
      </c>
      <c r="E23" s="18" t="s">
        <v>162</v>
      </c>
      <c r="F23" s="18" t="s">
        <v>188</v>
      </c>
      <c r="G23" s="18" t="s">
        <v>189</v>
      </c>
      <c r="H23" s="18" t="s">
        <v>2335</v>
      </c>
      <c r="I23" s="18">
        <v>1773</v>
      </c>
      <c r="J23" s="18" t="s">
        <v>191</v>
      </c>
      <c r="K23" s="18" t="s">
        <v>499</v>
      </c>
      <c r="L23" s="18" t="s">
        <v>2151</v>
      </c>
      <c r="M23" s="18" t="s">
        <v>531</v>
      </c>
      <c r="N23" s="18" t="s">
        <v>533</v>
      </c>
      <c r="O23" s="18" t="s">
        <v>534</v>
      </c>
      <c r="P23" s="18" t="s">
        <v>526</v>
      </c>
      <c r="Q23" s="18">
        <v>18902</v>
      </c>
      <c r="R23" s="18" t="s">
        <v>532</v>
      </c>
      <c r="S23" s="18" t="s">
        <v>2219</v>
      </c>
      <c r="T23" s="18" t="s">
        <v>2299</v>
      </c>
      <c r="U23" s="18" t="s">
        <v>2220</v>
      </c>
      <c r="V23" s="18" t="s">
        <v>2229</v>
      </c>
      <c r="W23" s="18" t="s">
        <v>2221</v>
      </c>
      <c r="X23" s="18" t="s">
        <v>526</v>
      </c>
      <c r="Y23" s="18" t="s">
        <v>2222</v>
      </c>
      <c r="Z23" s="19" t="s">
        <v>2223</v>
      </c>
      <c r="AA23">
        <v>8940000</v>
      </c>
      <c r="AB23" t="s">
        <v>2449</v>
      </c>
      <c r="AC23">
        <v>5000</v>
      </c>
    </row>
    <row r="24" spans="1:29" x14ac:dyDescent="0.3">
      <c r="A24" s="14" t="s">
        <v>2016</v>
      </c>
      <c r="B24" s="15" t="s">
        <v>2397</v>
      </c>
      <c r="C24" s="15" t="s">
        <v>2398</v>
      </c>
      <c r="D24" s="15" t="s">
        <v>38</v>
      </c>
      <c r="E24" s="15" t="s">
        <v>162</v>
      </c>
      <c r="F24" s="15" t="s">
        <v>292</v>
      </c>
      <c r="G24" s="15" t="s">
        <v>293</v>
      </c>
      <c r="H24" s="15" t="s">
        <v>2342</v>
      </c>
      <c r="I24" s="15">
        <v>1786</v>
      </c>
      <c r="J24" s="15" t="s">
        <v>294</v>
      </c>
      <c r="K24" s="15" t="s">
        <v>295</v>
      </c>
      <c r="L24" s="15" t="s">
        <v>2178</v>
      </c>
      <c r="M24" s="15" t="s">
        <v>531</v>
      </c>
      <c r="N24" s="15" t="s">
        <v>533</v>
      </c>
      <c r="O24" s="15" t="s">
        <v>534</v>
      </c>
      <c r="P24" s="15" t="s">
        <v>526</v>
      </c>
      <c r="Q24" s="15">
        <v>18902</v>
      </c>
      <c r="R24" s="15" t="s">
        <v>532</v>
      </c>
      <c r="S24" s="15" t="s">
        <v>2219</v>
      </c>
      <c r="T24" s="15" t="s">
        <v>2299</v>
      </c>
      <c r="U24" s="15" t="s">
        <v>2220</v>
      </c>
      <c r="V24" s="15" t="s">
        <v>2229</v>
      </c>
      <c r="W24" s="15" t="s">
        <v>2221</v>
      </c>
      <c r="X24" s="15" t="s">
        <v>526</v>
      </c>
      <c r="Y24" s="15" t="s">
        <v>2222</v>
      </c>
      <c r="Z24" s="16" t="s">
        <v>2223</v>
      </c>
      <c r="AA24">
        <v>8940000</v>
      </c>
      <c r="AB24" t="s">
        <v>2449</v>
      </c>
      <c r="AC24">
        <v>5000</v>
      </c>
    </row>
    <row r="25" spans="1:29" x14ac:dyDescent="0.3">
      <c r="A25" s="17" t="s">
        <v>2015</v>
      </c>
      <c r="B25" s="18" t="s">
        <v>2397</v>
      </c>
      <c r="C25" s="18" t="s">
        <v>2398</v>
      </c>
      <c r="D25" s="18" t="s">
        <v>63</v>
      </c>
      <c r="E25" s="18" t="s">
        <v>162</v>
      </c>
      <c r="F25" s="18" t="s">
        <v>384</v>
      </c>
      <c r="G25" s="18" t="s">
        <v>2374</v>
      </c>
      <c r="H25" s="18" t="s">
        <v>2348</v>
      </c>
      <c r="I25" s="18">
        <v>1998</v>
      </c>
      <c r="J25" s="18" t="s">
        <v>173</v>
      </c>
      <c r="K25" s="18" t="s">
        <v>487</v>
      </c>
      <c r="L25" s="18" t="s">
        <v>2128</v>
      </c>
      <c r="M25" s="18" t="s">
        <v>531</v>
      </c>
      <c r="N25" s="18" t="s">
        <v>533</v>
      </c>
      <c r="O25" s="18" t="s">
        <v>534</v>
      </c>
      <c r="P25" s="18" t="s">
        <v>526</v>
      </c>
      <c r="Q25" s="18">
        <v>18902</v>
      </c>
      <c r="R25" s="18" t="s">
        <v>532</v>
      </c>
      <c r="S25" s="18" t="s">
        <v>2219</v>
      </c>
      <c r="T25" s="18" t="s">
        <v>2299</v>
      </c>
      <c r="U25" s="18" t="s">
        <v>2220</v>
      </c>
      <c r="V25" s="18" t="s">
        <v>2229</v>
      </c>
      <c r="W25" s="18" t="s">
        <v>2221</v>
      </c>
      <c r="X25" s="18" t="s">
        <v>526</v>
      </c>
      <c r="Y25" s="18" t="s">
        <v>2222</v>
      </c>
      <c r="Z25" s="19" t="s">
        <v>2223</v>
      </c>
      <c r="AA25">
        <v>8940000</v>
      </c>
      <c r="AB25" t="s">
        <v>2449</v>
      </c>
      <c r="AC25">
        <v>5000</v>
      </c>
    </row>
    <row r="26" spans="1:29" x14ac:dyDescent="0.3">
      <c r="A26" s="14" t="s">
        <v>2021</v>
      </c>
      <c r="B26" s="15" t="s">
        <v>2399</v>
      </c>
      <c r="C26" s="15" t="s">
        <v>2400</v>
      </c>
      <c r="D26" s="15" t="s">
        <v>46</v>
      </c>
      <c r="E26" s="15" t="s">
        <v>167</v>
      </c>
      <c r="F26" s="15" t="s">
        <v>325</v>
      </c>
      <c r="G26" s="15" t="s">
        <v>326</v>
      </c>
      <c r="H26" s="15" t="s">
        <v>2336</v>
      </c>
      <c r="I26" s="15">
        <v>1774</v>
      </c>
      <c r="J26" s="15" t="s">
        <v>454</v>
      </c>
      <c r="K26" s="15" t="s">
        <v>328</v>
      </c>
      <c r="L26" s="15" t="s">
        <v>2160</v>
      </c>
      <c r="M26" s="15" t="s">
        <v>568</v>
      </c>
      <c r="N26" s="15" t="s">
        <v>569</v>
      </c>
      <c r="O26" s="15" t="s">
        <v>570</v>
      </c>
      <c r="P26" s="15" t="s">
        <v>571</v>
      </c>
      <c r="Q26" s="15" t="s">
        <v>572</v>
      </c>
      <c r="R26" s="15" t="s">
        <v>573</v>
      </c>
      <c r="S26" s="15" t="s">
        <v>2249</v>
      </c>
      <c r="T26" s="15" t="s">
        <v>2304</v>
      </c>
      <c r="U26" s="15" t="s">
        <v>2248</v>
      </c>
      <c r="V26" s="15"/>
      <c r="W26" s="15" t="s">
        <v>2247</v>
      </c>
      <c r="X26" s="15" t="s">
        <v>543</v>
      </c>
      <c r="Y26" s="15" t="s">
        <v>2251</v>
      </c>
      <c r="Z26" s="16" t="s">
        <v>2250</v>
      </c>
      <c r="AA26">
        <v>14920000</v>
      </c>
      <c r="AB26" t="s">
        <v>2450</v>
      </c>
      <c r="AC26">
        <v>4000</v>
      </c>
    </row>
    <row r="27" spans="1:29" x14ac:dyDescent="0.3">
      <c r="A27" s="14" t="s">
        <v>2024</v>
      </c>
      <c r="B27" s="15" t="s">
        <v>2399</v>
      </c>
      <c r="C27" s="15" t="s">
        <v>2400</v>
      </c>
      <c r="D27" s="15" t="s">
        <v>54</v>
      </c>
      <c r="E27" s="15" t="s">
        <v>350</v>
      </c>
      <c r="F27" s="15" t="s">
        <v>461</v>
      </c>
      <c r="G27" s="15"/>
      <c r="H27" s="15" t="s">
        <v>2350</v>
      </c>
      <c r="I27" s="15" t="s">
        <v>462</v>
      </c>
      <c r="J27" s="15" t="s">
        <v>460</v>
      </c>
      <c r="K27" s="15" t="s">
        <v>463</v>
      </c>
      <c r="L27" s="15" t="s">
        <v>2207</v>
      </c>
      <c r="M27" s="15" t="s">
        <v>568</v>
      </c>
      <c r="N27" s="15" t="s">
        <v>569</v>
      </c>
      <c r="O27" s="15" t="s">
        <v>570</v>
      </c>
      <c r="P27" s="15" t="s">
        <v>571</v>
      </c>
      <c r="Q27" s="15" t="s">
        <v>572</v>
      </c>
      <c r="R27" s="15" t="s">
        <v>573</v>
      </c>
      <c r="S27" s="15" t="s">
        <v>2249</v>
      </c>
      <c r="T27" s="15" t="s">
        <v>2305</v>
      </c>
      <c r="U27" s="15" t="s">
        <v>2248</v>
      </c>
      <c r="V27" s="15"/>
      <c r="W27" s="15" t="s">
        <v>2247</v>
      </c>
      <c r="X27" s="15" t="s">
        <v>543</v>
      </c>
      <c r="Y27" s="15" t="s">
        <v>2251</v>
      </c>
      <c r="Z27" s="16" t="s">
        <v>2250</v>
      </c>
      <c r="AA27">
        <v>5250000</v>
      </c>
      <c r="AB27" t="s">
        <v>2451</v>
      </c>
      <c r="AC27">
        <v>0</v>
      </c>
    </row>
    <row r="28" spans="1:29" x14ac:dyDescent="0.3">
      <c r="A28" s="14" t="s">
        <v>2026</v>
      </c>
      <c r="B28" s="15" t="s">
        <v>2399</v>
      </c>
      <c r="C28" s="15" t="s">
        <v>2400</v>
      </c>
      <c r="D28" s="15" t="s">
        <v>23</v>
      </c>
      <c r="E28" s="15" t="s">
        <v>167</v>
      </c>
      <c r="F28" s="15" t="s">
        <v>238</v>
      </c>
      <c r="G28" s="15" t="s">
        <v>239</v>
      </c>
      <c r="H28" s="15" t="s">
        <v>2353</v>
      </c>
      <c r="I28" s="15" t="s">
        <v>240</v>
      </c>
      <c r="J28" s="15" t="s">
        <v>2273</v>
      </c>
      <c r="K28" s="15" t="s">
        <v>241</v>
      </c>
      <c r="L28" s="15" t="s">
        <v>2135</v>
      </c>
      <c r="M28" s="15" t="s">
        <v>568</v>
      </c>
      <c r="N28" s="15" t="s">
        <v>569</v>
      </c>
      <c r="O28" s="15" t="s">
        <v>570</v>
      </c>
      <c r="P28" s="15" t="s">
        <v>571</v>
      </c>
      <c r="Q28" s="15" t="s">
        <v>572</v>
      </c>
      <c r="R28" s="15" t="s">
        <v>573</v>
      </c>
      <c r="S28" s="15" t="s">
        <v>2249</v>
      </c>
      <c r="T28" s="15" t="s">
        <v>2304</v>
      </c>
      <c r="U28" s="15" t="s">
        <v>2248</v>
      </c>
      <c r="V28" s="15"/>
      <c r="W28" s="15" t="s">
        <v>2247</v>
      </c>
      <c r="X28" s="15" t="s">
        <v>543</v>
      </c>
      <c r="Y28" s="15" t="s">
        <v>2251</v>
      </c>
      <c r="Z28" s="16" t="s">
        <v>2250</v>
      </c>
      <c r="AA28">
        <v>14920000</v>
      </c>
      <c r="AB28" t="s">
        <v>2450</v>
      </c>
      <c r="AC28">
        <v>4000</v>
      </c>
    </row>
    <row r="29" spans="1:29" x14ac:dyDescent="0.3">
      <c r="A29" s="17" t="s">
        <v>2028</v>
      </c>
      <c r="B29" s="18" t="s">
        <v>2399</v>
      </c>
      <c r="C29" s="18" t="s">
        <v>2400</v>
      </c>
      <c r="D29" s="18" t="s">
        <v>6</v>
      </c>
      <c r="E29" s="18" t="s">
        <v>162</v>
      </c>
      <c r="F29" s="18" t="s">
        <v>192</v>
      </c>
      <c r="G29" s="18" t="s">
        <v>193</v>
      </c>
      <c r="H29" s="18" t="s">
        <v>2351</v>
      </c>
      <c r="I29" s="18">
        <v>1774</v>
      </c>
      <c r="J29" s="18" t="s">
        <v>195</v>
      </c>
      <c r="K29" s="18" t="s">
        <v>467</v>
      </c>
      <c r="L29" s="18" t="s">
        <v>2131</v>
      </c>
      <c r="M29" s="18" t="s">
        <v>568</v>
      </c>
      <c r="N29" s="18" t="s">
        <v>569</v>
      </c>
      <c r="O29" s="18" t="s">
        <v>570</v>
      </c>
      <c r="P29" s="18" t="s">
        <v>571</v>
      </c>
      <c r="Q29" s="18" t="s">
        <v>572</v>
      </c>
      <c r="R29" s="18" t="s">
        <v>573</v>
      </c>
      <c r="S29" s="18" t="s">
        <v>2249</v>
      </c>
      <c r="T29" s="18" t="s">
        <v>2306</v>
      </c>
      <c r="U29" s="18" t="s">
        <v>2248</v>
      </c>
      <c r="V29" s="18"/>
      <c r="W29" s="18" t="s">
        <v>2247</v>
      </c>
      <c r="X29" s="18" t="s">
        <v>543</v>
      </c>
      <c r="Y29" s="18" t="s">
        <v>2251</v>
      </c>
      <c r="Z29" s="19" t="s">
        <v>2250</v>
      </c>
      <c r="AA29">
        <v>13660000</v>
      </c>
      <c r="AB29" t="s">
        <v>2452</v>
      </c>
      <c r="AC29">
        <v>4000</v>
      </c>
    </row>
    <row r="30" spans="1:29" x14ac:dyDescent="0.3">
      <c r="A30" s="14" t="s">
        <v>2025</v>
      </c>
      <c r="B30" s="15" t="s">
        <v>2399</v>
      </c>
      <c r="C30" s="15" t="s">
        <v>2400</v>
      </c>
      <c r="D30" s="15" t="s">
        <v>0</v>
      </c>
      <c r="E30" s="15" t="s">
        <v>167</v>
      </c>
      <c r="F30" s="15" t="s">
        <v>496</v>
      </c>
      <c r="G30" s="15" t="s">
        <v>168</v>
      </c>
      <c r="H30" s="15" t="s">
        <v>2342</v>
      </c>
      <c r="I30" s="15">
        <v>1883</v>
      </c>
      <c r="J30" s="15" t="s">
        <v>2273</v>
      </c>
      <c r="K30" s="15" t="s">
        <v>444</v>
      </c>
      <c r="L30" s="15" t="s">
        <v>2180</v>
      </c>
      <c r="M30" s="15" t="s">
        <v>568</v>
      </c>
      <c r="N30" s="15" t="s">
        <v>569</v>
      </c>
      <c r="O30" s="15" t="s">
        <v>570</v>
      </c>
      <c r="P30" s="15" t="s">
        <v>571</v>
      </c>
      <c r="Q30" s="15" t="s">
        <v>572</v>
      </c>
      <c r="R30" s="15" t="s">
        <v>573</v>
      </c>
      <c r="S30" s="15" t="s">
        <v>2249</v>
      </c>
      <c r="T30" s="15" t="s">
        <v>2304</v>
      </c>
      <c r="U30" s="15" t="s">
        <v>2248</v>
      </c>
      <c r="V30" s="15"/>
      <c r="W30" s="15" t="s">
        <v>2247</v>
      </c>
      <c r="X30" s="15" t="s">
        <v>543</v>
      </c>
      <c r="Y30" s="15" t="s">
        <v>2251</v>
      </c>
      <c r="Z30" s="16" t="s">
        <v>2250</v>
      </c>
      <c r="AA30">
        <v>14920000</v>
      </c>
      <c r="AB30" t="s">
        <v>2450</v>
      </c>
      <c r="AC30">
        <v>4000</v>
      </c>
    </row>
    <row r="31" spans="1:29" x14ac:dyDescent="0.3">
      <c r="A31" s="17" t="s">
        <v>2027</v>
      </c>
      <c r="B31" s="18" t="s">
        <v>2399</v>
      </c>
      <c r="C31" s="18" t="s">
        <v>2400</v>
      </c>
      <c r="D31" s="18" t="s">
        <v>22</v>
      </c>
      <c r="E31" s="18" t="s">
        <v>167</v>
      </c>
      <c r="F31" s="18" t="s">
        <v>236</v>
      </c>
      <c r="G31" s="18"/>
      <c r="H31" s="18" t="s">
        <v>2332</v>
      </c>
      <c r="I31" s="18">
        <v>1794</v>
      </c>
      <c r="J31" s="18" t="s">
        <v>2274</v>
      </c>
      <c r="K31" s="18" t="s">
        <v>449</v>
      </c>
      <c r="L31" s="18" t="s">
        <v>2167</v>
      </c>
      <c r="M31" s="18" t="s">
        <v>568</v>
      </c>
      <c r="N31" s="18" t="s">
        <v>569</v>
      </c>
      <c r="O31" s="18" t="s">
        <v>570</v>
      </c>
      <c r="P31" s="18" t="s">
        <v>571</v>
      </c>
      <c r="Q31" s="18" t="s">
        <v>572</v>
      </c>
      <c r="R31" s="18" t="s">
        <v>573</v>
      </c>
      <c r="S31" s="18" t="s">
        <v>2249</v>
      </c>
      <c r="T31" s="18" t="s">
        <v>2304</v>
      </c>
      <c r="U31" s="18" t="s">
        <v>2248</v>
      </c>
      <c r="V31" s="18"/>
      <c r="W31" s="18" t="s">
        <v>2247</v>
      </c>
      <c r="X31" s="18" t="s">
        <v>543</v>
      </c>
      <c r="Y31" s="18" t="s">
        <v>2251</v>
      </c>
      <c r="Z31" s="19" t="s">
        <v>2250</v>
      </c>
      <c r="AA31">
        <v>14920000</v>
      </c>
      <c r="AB31" t="s">
        <v>2450</v>
      </c>
      <c r="AC31">
        <v>4000</v>
      </c>
    </row>
    <row r="32" spans="1:29" x14ac:dyDescent="0.3">
      <c r="A32" s="17" t="s">
        <v>2036</v>
      </c>
      <c r="B32" s="18" t="s">
        <v>2401</v>
      </c>
      <c r="C32" s="18" t="s">
        <v>2402</v>
      </c>
      <c r="D32" s="18" t="s">
        <v>29</v>
      </c>
      <c r="E32" s="18" t="s">
        <v>167</v>
      </c>
      <c r="F32" s="18" t="s">
        <v>258</v>
      </c>
      <c r="G32" s="18" t="s">
        <v>259</v>
      </c>
      <c r="H32" s="18" t="s">
        <v>2335</v>
      </c>
      <c r="I32" s="18">
        <v>1775</v>
      </c>
      <c r="J32" s="18" t="s">
        <v>260</v>
      </c>
      <c r="K32" s="18" t="s">
        <v>451</v>
      </c>
      <c r="L32" s="18" t="s">
        <v>2154</v>
      </c>
      <c r="M32" s="18" t="s">
        <v>517</v>
      </c>
      <c r="N32" s="18" t="s">
        <v>524</v>
      </c>
      <c r="O32" s="18" t="s">
        <v>525</v>
      </c>
      <c r="P32" s="18" t="s">
        <v>526</v>
      </c>
      <c r="Q32" s="18">
        <v>19103</v>
      </c>
      <c r="R32" s="18" t="s">
        <v>527</v>
      </c>
      <c r="S32" s="18" t="s">
        <v>2235</v>
      </c>
      <c r="T32" s="18" t="s">
        <v>2291</v>
      </c>
      <c r="U32" s="18" t="s">
        <v>2236</v>
      </c>
      <c r="V32" s="18"/>
      <c r="W32" s="18" t="s">
        <v>2237</v>
      </c>
      <c r="X32" s="18" t="s">
        <v>526</v>
      </c>
      <c r="Y32" s="18">
        <v>19044</v>
      </c>
      <c r="Z32" s="19" t="s">
        <v>2238</v>
      </c>
      <c r="AA32">
        <v>15100000</v>
      </c>
      <c r="AB32" t="s">
        <v>2453</v>
      </c>
      <c r="AC32">
        <v>3000</v>
      </c>
    </row>
    <row r="33" spans="1:29" x14ac:dyDescent="0.3">
      <c r="A33" s="14" t="s">
        <v>2034</v>
      </c>
      <c r="B33" s="15" t="s">
        <v>2401</v>
      </c>
      <c r="C33" s="15" t="s">
        <v>2402</v>
      </c>
      <c r="D33" s="15" t="s">
        <v>59</v>
      </c>
      <c r="E33" s="15" t="s">
        <v>369</v>
      </c>
      <c r="F33" s="15" t="s">
        <v>457</v>
      </c>
      <c r="G33" s="15" t="s">
        <v>2375</v>
      </c>
      <c r="H33" s="15" t="s">
        <v>2342</v>
      </c>
      <c r="I33" s="15">
        <v>1782</v>
      </c>
      <c r="J33" s="15" t="s">
        <v>460</v>
      </c>
      <c r="K33" s="15" t="s">
        <v>370</v>
      </c>
      <c r="L33" s="15" t="s">
        <v>2188</v>
      </c>
      <c r="M33" s="15" t="s">
        <v>517</v>
      </c>
      <c r="N33" s="15" t="s">
        <v>524</v>
      </c>
      <c r="O33" s="15" t="s">
        <v>525</v>
      </c>
      <c r="P33" s="15" t="s">
        <v>526</v>
      </c>
      <c r="Q33" s="15">
        <v>19103</v>
      </c>
      <c r="R33" s="15" t="s">
        <v>527</v>
      </c>
      <c r="S33" s="15" t="s">
        <v>2235</v>
      </c>
      <c r="T33" s="15" t="s">
        <v>2292</v>
      </c>
      <c r="U33" s="15" t="s">
        <v>2236</v>
      </c>
      <c r="V33" s="15"/>
      <c r="W33" s="15" t="s">
        <v>2237</v>
      </c>
      <c r="X33" s="15" t="s">
        <v>526</v>
      </c>
      <c r="Y33" s="15">
        <v>19044</v>
      </c>
      <c r="Z33" s="16" t="s">
        <v>2238</v>
      </c>
      <c r="AA33">
        <v>2940000</v>
      </c>
      <c r="AB33" t="s">
        <v>2454</v>
      </c>
      <c r="AC33">
        <v>8000</v>
      </c>
    </row>
    <row r="34" spans="1:29" x14ac:dyDescent="0.3">
      <c r="A34" s="14" t="s">
        <v>2035</v>
      </c>
      <c r="B34" s="15" t="s">
        <v>2401</v>
      </c>
      <c r="C34" s="15" t="s">
        <v>2402</v>
      </c>
      <c r="D34" s="15" t="s">
        <v>7</v>
      </c>
      <c r="E34" s="15" t="s">
        <v>167</v>
      </c>
      <c r="F34" s="15" t="s">
        <v>7</v>
      </c>
      <c r="G34" s="15" t="s">
        <v>196</v>
      </c>
      <c r="H34" s="15" t="s">
        <v>2358</v>
      </c>
      <c r="I34" s="15">
        <v>1782</v>
      </c>
      <c r="J34" s="15" t="s">
        <v>198</v>
      </c>
      <c r="K34" s="15" t="s">
        <v>447</v>
      </c>
      <c r="L34" s="15" t="s">
        <v>2203</v>
      </c>
      <c r="M34" s="15" t="s">
        <v>517</v>
      </c>
      <c r="N34" s="15" t="s">
        <v>524</v>
      </c>
      <c r="O34" s="15" t="s">
        <v>525</v>
      </c>
      <c r="P34" s="15" t="s">
        <v>526</v>
      </c>
      <c r="Q34" s="15">
        <v>19103</v>
      </c>
      <c r="R34" s="15" t="s">
        <v>527</v>
      </c>
      <c r="S34" s="15" t="s">
        <v>2235</v>
      </c>
      <c r="T34" s="15" t="s">
        <v>2291</v>
      </c>
      <c r="U34" s="15" t="s">
        <v>2236</v>
      </c>
      <c r="V34" s="15"/>
      <c r="W34" s="15" t="s">
        <v>2237</v>
      </c>
      <c r="X34" s="15" t="s">
        <v>526</v>
      </c>
      <c r="Y34" s="15">
        <v>19044</v>
      </c>
      <c r="Z34" s="16" t="s">
        <v>2238</v>
      </c>
      <c r="AA34">
        <v>15100000</v>
      </c>
      <c r="AB34" t="s">
        <v>2453</v>
      </c>
      <c r="AC34">
        <v>3000</v>
      </c>
    </row>
    <row r="35" spans="1:29" x14ac:dyDescent="0.3">
      <c r="A35" s="17" t="s">
        <v>2037</v>
      </c>
      <c r="B35" s="18" t="s">
        <v>2401</v>
      </c>
      <c r="C35" s="18" t="s">
        <v>2402</v>
      </c>
      <c r="D35" s="18" t="s">
        <v>31</v>
      </c>
      <c r="E35" s="18" t="s">
        <v>162</v>
      </c>
      <c r="F35" s="18" t="s">
        <v>264</v>
      </c>
      <c r="G35" s="18" t="s">
        <v>265</v>
      </c>
      <c r="H35" s="18" t="s">
        <v>2342</v>
      </c>
      <c r="I35" s="18">
        <v>1824</v>
      </c>
      <c r="J35" s="18" t="s">
        <v>266</v>
      </c>
      <c r="K35" s="18" t="s">
        <v>267</v>
      </c>
      <c r="L35" s="18" t="s">
        <v>2181</v>
      </c>
      <c r="M35" s="18" t="s">
        <v>517</v>
      </c>
      <c r="N35" s="18" t="s">
        <v>524</v>
      </c>
      <c r="O35" s="18" t="s">
        <v>525</v>
      </c>
      <c r="P35" s="18" t="s">
        <v>526</v>
      </c>
      <c r="Q35" s="18">
        <v>19103</v>
      </c>
      <c r="R35" s="18" t="s">
        <v>527</v>
      </c>
      <c r="S35" s="18" t="s">
        <v>2235</v>
      </c>
      <c r="T35" s="18" t="s">
        <v>2292</v>
      </c>
      <c r="U35" s="18" t="s">
        <v>2236</v>
      </c>
      <c r="V35" s="18"/>
      <c r="W35" s="18" t="s">
        <v>2237</v>
      </c>
      <c r="X35" s="18" t="s">
        <v>526</v>
      </c>
      <c r="Y35" s="18">
        <v>19044</v>
      </c>
      <c r="Z35" s="19" t="s">
        <v>2238</v>
      </c>
      <c r="AA35">
        <v>2940000</v>
      </c>
      <c r="AB35" t="s">
        <v>2454</v>
      </c>
      <c r="AC35">
        <v>8000</v>
      </c>
    </row>
    <row r="36" spans="1:29" x14ac:dyDescent="0.3">
      <c r="A36" s="17" t="s">
        <v>2038</v>
      </c>
      <c r="B36" s="18" t="s">
        <v>2401</v>
      </c>
      <c r="C36" s="18" t="s">
        <v>2402</v>
      </c>
      <c r="D36" s="18" t="s">
        <v>74</v>
      </c>
      <c r="E36" s="18" t="s">
        <v>162</v>
      </c>
      <c r="F36" s="18" t="s">
        <v>417</v>
      </c>
      <c r="G36" s="18"/>
      <c r="H36" s="18" t="s">
        <v>2335</v>
      </c>
      <c r="I36" s="18" t="s">
        <v>418</v>
      </c>
      <c r="J36" s="18" t="s">
        <v>419</v>
      </c>
      <c r="K36" s="18" t="s">
        <v>420</v>
      </c>
      <c r="L36" s="18" t="s">
        <v>2153</v>
      </c>
      <c r="M36" s="18" t="s">
        <v>517</v>
      </c>
      <c r="N36" s="18" t="s">
        <v>524</v>
      </c>
      <c r="O36" s="18" t="s">
        <v>525</v>
      </c>
      <c r="P36" s="18" t="s">
        <v>526</v>
      </c>
      <c r="Q36" s="18">
        <v>19103</v>
      </c>
      <c r="R36" s="18" t="s">
        <v>527</v>
      </c>
      <c r="S36" s="18" t="s">
        <v>2235</v>
      </c>
      <c r="T36" s="18" t="s">
        <v>2292</v>
      </c>
      <c r="U36" s="18" t="s">
        <v>2236</v>
      </c>
      <c r="V36" s="18"/>
      <c r="W36" s="18" t="s">
        <v>2237</v>
      </c>
      <c r="X36" s="18" t="s">
        <v>526</v>
      </c>
      <c r="Y36" s="18">
        <v>19044</v>
      </c>
      <c r="Z36" s="19" t="s">
        <v>2238</v>
      </c>
      <c r="AA36">
        <v>2940000</v>
      </c>
      <c r="AB36" t="s">
        <v>2454</v>
      </c>
      <c r="AC36">
        <v>8000</v>
      </c>
    </row>
    <row r="37" spans="1:29" x14ac:dyDescent="0.3">
      <c r="A37" s="17" t="s">
        <v>2039</v>
      </c>
      <c r="B37" s="18" t="s">
        <v>2401</v>
      </c>
      <c r="C37" s="18" t="s">
        <v>2402</v>
      </c>
      <c r="D37" s="18" t="s">
        <v>8</v>
      </c>
      <c r="E37" s="18" t="s">
        <v>167</v>
      </c>
      <c r="F37" s="18" t="s">
        <v>8</v>
      </c>
      <c r="G37" s="18" t="s">
        <v>2373</v>
      </c>
      <c r="H37" s="18" t="s">
        <v>2360</v>
      </c>
      <c r="I37" s="18" t="s">
        <v>201</v>
      </c>
      <c r="J37" s="18" t="s">
        <v>2273</v>
      </c>
      <c r="K37" s="18" t="s">
        <v>502</v>
      </c>
      <c r="L37" s="18" t="s">
        <v>2172</v>
      </c>
      <c r="M37" s="18" t="s">
        <v>517</v>
      </c>
      <c r="N37" s="18" t="s">
        <v>524</v>
      </c>
      <c r="O37" s="18" t="s">
        <v>525</v>
      </c>
      <c r="P37" s="18" t="s">
        <v>526</v>
      </c>
      <c r="Q37" s="18">
        <v>19103</v>
      </c>
      <c r="R37" s="18" t="s">
        <v>527</v>
      </c>
      <c r="S37" s="18" t="s">
        <v>2235</v>
      </c>
      <c r="T37" s="18" t="s">
        <v>2291</v>
      </c>
      <c r="U37" s="18" t="s">
        <v>2236</v>
      </c>
      <c r="V37" s="18"/>
      <c r="W37" s="18" t="s">
        <v>2237</v>
      </c>
      <c r="X37" s="18" t="s">
        <v>526</v>
      </c>
      <c r="Y37" s="18">
        <v>19044</v>
      </c>
      <c r="Z37" s="19" t="s">
        <v>2238</v>
      </c>
      <c r="AA37">
        <v>15100000</v>
      </c>
      <c r="AB37" t="s">
        <v>2453</v>
      </c>
      <c r="AC37">
        <v>3000</v>
      </c>
    </row>
    <row r="38" spans="1:29" x14ac:dyDescent="0.3">
      <c r="A38" s="14" t="s">
        <v>2030</v>
      </c>
      <c r="B38" s="15" t="s">
        <v>2403</v>
      </c>
      <c r="C38" s="15" t="s">
        <v>2404</v>
      </c>
      <c r="D38" s="15" t="s">
        <v>33</v>
      </c>
      <c r="E38" s="15" t="s">
        <v>167</v>
      </c>
      <c r="F38" s="15" t="s">
        <v>273</v>
      </c>
      <c r="G38" s="15" t="s">
        <v>274</v>
      </c>
      <c r="H38" s="15" t="s">
        <v>2345</v>
      </c>
      <c r="I38" s="15">
        <v>1857</v>
      </c>
      <c r="J38" s="15" t="s">
        <v>2273</v>
      </c>
      <c r="K38" s="15" t="s">
        <v>452</v>
      </c>
      <c r="L38" s="15" t="s">
        <v>2165</v>
      </c>
      <c r="M38" s="15" t="s">
        <v>562</v>
      </c>
      <c r="N38" s="15" t="s">
        <v>563</v>
      </c>
      <c r="O38" s="15" t="s">
        <v>564</v>
      </c>
      <c r="P38" s="15" t="s">
        <v>566</v>
      </c>
      <c r="Q38" s="15" t="s">
        <v>565</v>
      </c>
      <c r="R38" s="15" t="s">
        <v>567</v>
      </c>
      <c r="S38" s="15" t="s">
        <v>2215</v>
      </c>
      <c r="T38" s="15" t="s">
        <v>2301</v>
      </c>
      <c r="U38" s="15" t="s">
        <v>2216</v>
      </c>
      <c r="V38" s="15"/>
      <c r="W38" s="15" t="s">
        <v>2217</v>
      </c>
      <c r="X38" s="15" t="s">
        <v>543</v>
      </c>
      <c r="Y38" s="15" t="s">
        <v>2218</v>
      </c>
      <c r="Z38" s="16" t="s">
        <v>2214</v>
      </c>
      <c r="AA38">
        <v>14350000</v>
      </c>
      <c r="AB38" t="s">
        <v>2455</v>
      </c>
      <c r="AC38">
        <v>0</v>
      </c>
    </row>
    <row r="39" spans="1:29" x14ac:dyDescent="0.3">
      <c r="A39" s="14" t="s">
        <v>2031</v>
      </c>
      <c r="B39" s="15" t="s">
        <v>2403</v>
      </c>
      <c r="C39" s="15" t="s">
        <v>2404</v>
      </c>
      <c r="D39" s="15" t="s">
        <v>44</v>
      </c>
      <c r="E39" s="15" t="s">
        <v>167</v>
      </c>
      <c r="F39" s="15" t="s">
        <v>317</v>
      </c>
      <c r="G39" s="15" t="s">
        <v>2378</v>
      </c>
      <c r="H39" s="15" t="s">
        <v>2357</v>
      </c>
      <c r="I39" s="15" t="s">
        <v>320</v>
      </c>
      <c r="J39" s="15" t="s">
        <v>2273</v>
      </c>
      <c r="K39" s="15" t="s">
        <v>321</v>
      </c>
      <c r="L39" s="15" t="s">
        <v>2143</v>
      </c>
      <c r="M39" s="15" t="s">
        <v>562</v>
      </c>
      <c r="N39" s="15" t="s">
        <v>563</v>
      </c>
      <c r="O39" s="15" t="s">
        <v>564</v>
      </c>
      <c r="P39" s="15" t="s">
        <v>566</v>
      </c>
      <c r="Q39" s="15" t="s">
        <v>565</v>
      </c>
      <c r="R39" s="15" t="s">
        <v>567</v>
      </c>
      <c r="S39" s="15" t="s">
        <v>2215</v>
      </c>
      <c r="T39" s="15" t="s">
        <v>2301</v>
      </c>
      <c r="U39" s="15" t="s">
        <v>2216</v>
      </c>
      <c r="V39" s="15"/>
      <c r="W39" s="15" t="s">
        <v>2217</v>
      </c>
      <c r="X39" s="15" t="s">
        <v>543</v>
      </c>
      <c r="Y39" s="15" t="s">
        <v>2218</v>
      </c>
      <c r="Z39" s="16" t="s">
        <v>2214</v>
      </c>
      <c r="AA39">
        <v>14350000</v>
      </c>
      <c r="AB39" t="s">
        <v>2455</v>
      </c>
      <c r="AC39">
        <v>0</v>
      </c>
    </row>
    <row r="40" spans="1:29" x14ac:dyDescent="0.3">
      <c r="A40" s="14" t="s">
        <v>2029</v>
      </c>
      <c r="B40" s="15" t="s">
        <v>2403</v>
      </c>
      <c r="C40" s="15" t="s">
        <v>2404</v>
      </c>
      <c r="D40" s="15" t="s">
        <v>72</v>
      </c>
      <c r="E40" s="15" t="s">
        <v>412</v>
      </c>
      <c r="F40" s="15" t="s">
        <v>256</v>
      </c>
      <c r="G40" s="15"/>
      <c r="H40" s="15" t="s">
        <v>2332</v>
      </c>
      <c r="I40" s="15" t="s">
        <v>413</v>
      </c>
      <c r="J40" s="15" t="s">
        <v>176</v>
      </c>
      <c r="K40" s="15" t="s">
        <v>414</v>
      </c>
      <c r="L40" s="15" t="s">
        <v>2208</v>
      </c>
      <c r="M40" s="15" t="s">
        <v>562</v>
      </c>
      <c r="N40" s="15" t="s">
        <v>563</v>
      </c>
      <c r="O40" s="15" t="s">
        <v>564</v>
      </c>
      <c r="P40" s="15" t="s">
        <v>566</v>
      </c>
      <c r="Q40" s="15" t="s">
        <v>565</v>
      </c>
      <c r="R40" s="15" t="s">
        <v>567</v>
      </c>
      <c r="S40" s="15" t="s">
        <v>2215</v>
      </c>
      <c r="T40" s="15" t="s">
        <v>2301</v>
      </c>
      <c r="U40" s="15" t="s">
        <v>2216</v>
      </c>
      <c r="V40" s="15"/>
      <c r="W40" s="15" t="s">
        <v>2217</v>
      </c>
      <c r="X40" s="15" t="s">
        <v>543</v>
      </c>
      <c r="Y40" s="15" t="s">
        <v>2218</v>
      </c>
      <c r="Z40" s="16" t="s">
        <v>2214</v>
      </c>
      <c r="AA40">
        <v>14350000</v>
      </c>
      <c r="AB40" t="s">
        <v>2455</v>
      </c>
      <c r="AC40">
        <v>0</v>
      </c>
    </row>
    <row r="41" spans="1:29" x14ac:dyDescent="0.3">
      <c r="A41" s="17" t="s">
        <v>2032</v>
      </c>
      <c r="B41" s="18" t="s">
        <v>2405</v>
      </c>
      <c r="C41" s="18" t="s">
        <v>2406</v>
      </c>
      <c r="D41" s="18" t="s">
        <v>52</v>
      </c>
      <c r="E41" s="18" t="s">
        <v>167</v>
      </c>
      <c r="F41" s="18" t="s">
        <v>344</v>
      </c>
      <c r="G41" s="18"/>
      <c r="H41" s="18" t="s">
        <v>2356</v>
      </c>
      <c r="I41" s="18" t="s">
        <v>345</v>
      </c>
      <c r="J41" s="18" t="s">
        <v>346</v>
      </c>
      <c r="K41" s="18" t="s">
        <v>503</v>
      </c>
      <c r="L41" s="18" t="s">
        <v>2174</v>
      </c>
      <c r="M41" s="18" t="s">
        <v>562</v>
      </c>
      <c r="N41" s="18" t="s">
        <v>563</v>
      </c>
      <c r="O41" s="18" t="s">
        <v>564</v>
      </c>
      <c r="P41" s="18" t="s">
        <v>566</v>
      </c>
      <c r="Q41" s="18" t="s">
        <v>565</v>
      </c>
      <c r="R41" s="18" t="s">
        <v>567</v>
      </c>
      <c r="S41" s="18" t="s">
        <v>2215</v>
      </c>
      <c r="T41" s="18" t="s">
        <v>2301</v>
      </c>
      <c r="U41" s="18" t="s">
        <v>2216</v>
      </c>
      <c r="V41" s="18"/>
      <c r="W41" s="18" t="s">
        <v>2217</v>
      </c>
      <c r="X41" s="18" t="s">
        <v>543</v>
      </c>
      <c r="Y41" s="18" t="s">
        <v>2218</v>
      </c>
      <c r="Z41" s="19" t="s">
        <v>2214</v>
      </c>
      <c r="AA41">
        <v>14350000</v>
      </c>
      <c r="AB41" t="s">
        <v>2455</v>
      </c>
      <c r="AC41">
        <v>0</v>
      </c>
    </row>
    <row r="42" spans="1:29" x14ac:dyDescent="0.3">
      <c r="A42" s="14" t="s">
        <v>2033</v>
      </c>
      <c r="B42" s="15" t="s">
        <v>2405</v>
      </c>
      <c r="C42" s="15" t="s">
        <v>2406</v>
      </c>
      <c r="D42" s="15" t="s">
        <v>4</v>
      </c>
      <c r="E42" s="15" t="s">
        <v>162</v>
      </c>
      <c r="F42" s="15" t="s">
        <v>181</v>
      </c>
      <c r="G42" s="15"/>
      <c r="H42" s="15" t="s">
        <v>2333</v>
      </c>
      <c r="I42" s="15" t="s">
        <v>183</v>
      </c>
      <c r="J42" s="15" t="s">
        <v>466</v>
      </c>
      <c r="K42" s="15" t="s">
        <v>498</v>
      </c>
      <c r="L42" s="15" t="s">
        <v>2147</v>
      </c>
      <c r="M42" s="15" t="s">
        <v>562</v>
      </c>
      <c r="N42" s="15" t="s">
        <v>563</v>
      </c>
      <c r="O42" s="15" t="s">
        <v>564</v>
      </c>
      <c r="P42" s="15" t="s">
        <v>566</v>
      </c>
      <c r="Q42" s="15" t="s">
        <v>565</v>
      </c>
      <c r="R42" s="15" t="s">
        <v>567</v>
      </c>
      <c r="S42" s="15" t="s">
        <v>2215</v>
      </c>
      <c r="T42" s="15" t="s">
        <v>2301</v>
      </c>
      <c r="U42" s="15" t="s">
        <v>2216</v>
      </c>
      <c r="V42" s="15"/>
      <c r="W42" s="15" t="s">
        <v>2217</v>
      </c>
      <c r="X42" s="15" t="s">
        <v>543</v>
      </c>
      <c r="Y42" s="15" t="s">
        <v>2218</v>
      </c>
      <c r="Z42" s="16" t="s">
        <v>2214</v>
      </c>
      <c r="AA42">
        <v>14350000</v>
      </c>
      <c r="AB42" t="s">
        <v>2455</v>
      </c>
      <c r="AC42">
        <v>0</v>
      </c>
    </row>
    <row r="43" spans="1:29" x14ac:dyDescent="0.3">
      <c r="A43" s="17" t="s">
        <v>2040</v>
      </c>
      <c r="B43" s="18" t="s">
        <v>2407</v>
      </c>
      <c r="C43" s="18" t="s">
        <v>2408</v>
      </c>
      <c r="D43" s="18" t="s">
        <v>56</v>
      </c>
      <c r="E43" s="18" t="s">
        <v>162</v>
      </c>
      <c r="F43" s="18" t="s">
        <v>355</v>
      </c>
      <c r="G43" s="18" t="s">
        <v>2281</v>
      </c>
      <c r="H43" s="18" t="s">
        <v>2366</v>
      </c>
      <c r="I43" s="18" t="s">
        <v>358</v>
      </c>
      <c r="J43" s="18" t="s">
        <v>234</v>
      </c>
      <c r="K43" s="18" t="s">
        <v>484</v>
      </c>
      <c r="L43" s="18" t="s">
        <v>2130</v>
      </c>
      <c r="M43" s="18" t="s">
        <v>528</v>
      </c>
      <c r="N43" s="18" t="s">
        <v>529</v>
      </c>
      <c r="O43" s="18" t="s">
        <v>525</v>
      </c>
      <c r="P43" s="18" t="s">
        <v>526</v>
      </c>
      <c r="Q43" s="18">
        <v>19103</v>
      </c>
      <c r="R43" s="18" t="s">
        <v>530</v>
      </c>
      <c r="S43" s="18" t="s">
        <v>2252</v>
      </c>
      <c r="T43" s="18" t="s">
        <v>2296</v>
      </c>
      <c r="U43" s="18" t="s">
        <v>2253</v>
      </c>
      <c r="V43" s="18"/>
      <c r="W43" s="18" t="s">
        <v>564</v>
      </c>
      <c r="X43" s="18" t="s">
        <v>566</v>
      </c>
      <c r="Y43" s="18" t="s">
        <v>2254</v>
      </c>
      <c r="Z43" s="19" t="s">
        <v>2255</v>
      </c>
      <c r="AA43">
        <v>11390000</v>
      </c>
      <c r="AB43" t="s">
        <v>2456</v>
      </c>
      <c r="AC43">
        <v>9000</v>
      </c>
    </row>
    <row r="44" spans="1:29" x14ac:dyDescent="0.3">
      <c r="A44" s="14" t="s">
        <v>2042</v>
      </c>
      <c r="B44" s="15" t="s">
        <v>2407</v>
      </c>
      <c r="C44" s="15" t="s">
        <v>2408</v>
      </c>
      <c r="D44" s="15" t="s">
        <v>55</v>
      </c>
      <c r="E44" s="15" t="s">
        <v>162</v>
      </c>
      <c r="F44" s="15" t="s">
        <v>232</v>
      </c>
      <c r="G44" s="15" t="s">
        <v>352</v>
      </c>
      <c r="H44" s="15" t="s">
        <v>2344</v>
      </c>
      <c r="I44" s="15" t="s">
        <v>354</v>
      </c>
      <c r="J44" s="15" t="s">
        <v>482</v>
      </c>
      <c r="K44" s="15" t="s">
        <v>483</v>
      </c>
      <c r="L44" s="15" t="s">
        <v>2140</v>
      </c>
      <c r="M44" s="15" t="s">
        <v>528</v>
      </c>
      <c r="N44" s="15" t="s">
        <v>529</v>
      </c>
      <c r="O44" s="15" t="s">
        <v>525</v>
      </c>
      <c r="P44" s="15" t="s">
        <v>526</v>
      </c>
      <c r="Q44" s="15">
        <v>19103</v>
      </c>
      <c r="R44" s="15" t="s">
        <v>530</v>
      </c>
      <c r="S44" s="15" t="s">
        <v>2252</v>
      </c>
      <c r="T44" s="15" t="s">
        <v>2296</v>
      </c>
      <c r="U44" s="15" t="s">
        <v>2253</v>
      </c>
      <c r="V44" s="15"/>
      <c r="W44" s="15" t="s">
        <v>564</v>
      </c>
      <c r="X44" s="15" t="s">
        <v>566</v>
      </c>
      <c r="Y44" s="15" t="s">
        <v>2254</v>
      </c>
      <c r="Z44" s="16" t="s">
        <v>2255</v>
      </c>
      <c r="AA44">
        <v>11390000</v>
      </c>
      <c r="AB44" t="s">
        <v>2456</v>
      </c>
      <c r="AC44">
        <v>9000</v>
      </c>
    </row>
    <row r="45" spans="1:29" x14ac:dyDescent="0.3">
      <c r="A45" s="17" t="s">
        <v>2043</v>
      </c>
      <c r="B45" s="18" t="s">
        <v>2407</v>
      </c>
      <c r="C45" s="18" t="s">
        <v>2408</v>
      </c>
      <c r="D45" s="18" t="s">
        <v>21</v>
      </c>
      <c r="E45" s="18" t="s">
        <v>162</v>
      </c>
      <c r="F45" s="18" t="s">
        <v>232</v>
      </c>
      <c r="G45" s="18" t="s">
        <v>233</v>
      </c>
      <c r="H45" s="18" t="s">
        <v>2342</v>
      </c>
      <c r="I45" s="18">
        <v>1775</v>
      </c>
      <c r="J45" s="18" t="s">
        <v>234</v>
      </c>
      <c r="K45" s="18" t="s">
        <v>235</v>
      </c>
      <c r="L45" s="18" t="s">
        <v>2182</v>
      </c>
      <c r="M45" s="18" t="s">
        <v>528</v>
      </c>
      <c r="N45" s="18" t="s">
        <v>529</v>
      </c>
      <c r="O45" s="18" t="s">
        <v>525</v>
      </c>
      <c r="P45" s="18" t="s">
        <v>526</v>
      </c>
      <c r="Q45" s="18">
        <v>19103</v>
      </c>
      <c r="R45" s="18" t="s">
        <v>530</v>
      </c>
      <c r="S45" s="18" t="s">
        <v>2252</v>
      </c>
      <c r="T45" s="18" t="s">
        <v>2296</v>
      </c>
      <c r="U45" s="18" t="s">
        <v>2253</v>
      </c>
      <c r="V45" s="18"/>
      <c r="W45" s="18" t="s">
        <v>564</v>
      </c>
      <c r="X45" s="18" t="s">
        <v>566</v>
      </c>
      <c r="Y45" s="18" t="s">
        <v>2254</v>
      </c>
      <c r="Z45" s="19" t="s">
        <v>2255</v>
      </c>
      <c r="AA45">
        <v>11390000</v>
      </c>
      <c r="AB45" t="s">
        <v>2456</v>
      </c>
      <c r="AC45">
        <v>9000</v>
      </c>
    </row>
    <row r="46" spans="1:29" x14ac:dyDescent="0.3">
      <c r="A46" s="14" t="s">
        <v>2044</v>
      </c>
      <c r="B46" s="15" t="s">
        <v>2407</v>
      </c>
      <c r="C46" s="15" t="s">
        <v>2408</v>
      </c>
      <c r="D46" s="15" t="s">
        <v>70</v>
      </c>
      <c r="E46" s="15" t="s">
        <v>162</v>
      </c>
      <c r="F46" s="15" t="s">
        <v>223</v>
      </c>
      <c r="G46" s="15" t="s">
        <v>405</v>
      </c>
      <c r="H46" s="15" t="s">
        <v>2347</v>
      </c>
      <c r="I46" s="15" t="s">
        <v>407</v>
      </c>
      <c r="J46" s="15" t="s">
        <v>2269</v>
      </c>
      <c r="K46" s="15" t="s">
        <v>408</v>
      </c>
      <c r="L46" s="15" t="s">
        <v>2205</v>
      </c>
      <c r="M46" s="15" t="s">
        <v>528</v>
      </c>
      <c r="N46" s="15" t="s">
        <v>529</v>
      </c>
      <c r="O46" s="15" t="s">
        <v>525</v>
      </c>
      <c r="P46" s="15" t="s">
        <v>526</v>
      </c>
      <c r="Q46" s="15">
        <v>19103</v>
      </c>
      <c r="R46" s="15" t="s">
        <v>530</v>
      </c>
      <c r="S46" s="15" t="s">
        <v>2252</v>
      </c>
      <c r="T46" s="15" t="s">
        <v>2296</v>
      </c>
      <c r="U46" s="15" t="s">
        <v>2253</v>
      </c>
      <c r="V46" s="15"/>
      <c r="W46" s="15" t="s">
        <v>564</v>
      </c>
      <c r="X46" s="15" t="s">
        <v>566</v>
      </c>
      <c r="Y46" s="15" t="s">
        <v>2254</v>
      </c>
      <c r="Z46" s="16" t="s">
        <v>2255</v>
      </c>
      <c r="AA46">
        <v>11390000</v>
      </c>
      <c r="AB46" t="s">
        <v>2456</v>
      </c>
      <c r="AC46">
        <v>9000</v>
      </c>
    </row>
    <row r="47" spans="1:29" x14ac:dyDescent="0.3">
      <c r="A47" s="17" t="s">
        <v>2041</v>
      </c>
      <c r="B47" s="18" t="s">
        <v>2407</v>
      </c>
      <c r="C47" s="18" t="s">
        <v>2408</v>
      </c>
      <c r="D47" s="18" t="s">
        <v>79</v>
      </c>
      <c r="E47" s="18" t="s">
        <v>162</v>
      </c>
      <c r="F47" s="18" t="s">
        <v>433</v>
      </c>
      <c r="G47" s="18" t="s">
        <v>434</v>
      </c>
      <c r="H47" s="18" t="s">
        <v>2335</v>
      </c>
      <c r="I47" s="18">
        <v>1749</v>
      </c>
      <c r="J47" s="18" t="s">
        <v>435</v>
      </c>
      <c r="K47" s="18" t="s">
        <v>436</v>
      </c>
      <c r="L47" s="18" t="s">
        <v>2155</v>
      </c>
      <c r="M47" s="18" t="s">
        <v>528</v>
      </c>
      <c r="N47" s="18" t="s">
        <v>529</v>
      </c>
      <c r="O47" s="18" t="s">
        <v>525</v>
      </c>
      <c r="P47" s="18" t="s">
        <v>526</v>
      </c>
      <c r="Q47" s="18">
        <v>19103</v>
      </c>
      <c r="R47" s="18" t="s">
        <v>530</v>
      </c>
      <c r="S47" s="18" t="s">
        <v>2252</v>
      </c>
      <c r="T47" s="18" t="s">
        <v>2296</v>
      </c>
      <c r="U47" s="18" t="s">
        <v>2253</v>
      </c>
      <c r="V47" s="18"/>
      <c r="W47" s="18" t="s">
        <v>564</v>
      </c>
      <c r="X47" s="18" t="s">
        <v>566</v>
      </c>
      <c r="Y47" s="18" t="s">
        <v>2254</v>
      </c>
      <c r="Z47" s="19" t="s">
        <v>2255</v>
      </c>
      <c r="AA47">
        <v>11390000</v>
      </c>
      <c r="AB47" t="s">
        <v>2456</v>
      </c>
      <c r="AC47">
        <v>9000</v>
      </c>
    </row>
    <row r="48" spans="1:29" x14ac:dyDescent="0.3">
      <c r="A48" s="14" t="s">
        <v>300</v>
      </c>
      <c r="B48" s="15" t="s">
        <v>2409</v>
      </c>
      <c r="C48" s="15" t="s">
        <v>2410</v>
      </c>
      <c r="D48" s="15" t="s">
        <v>39</v>
      </c>
      <c r="E48" s="15" t="s">
        <v>162</v>
      </c>
      <c r="F48" s="15" t="s">
        <v>296</v>
      </c>
      <c r="G48" s="15"/>
      <c r="H48" s="15" t="s">
        <v>2334</v>
      </c>
      <c r="I48" s="15" t="s">
        <v>298</v>
      </c>
      <c r="J48" s="15" t="s">
        <v>299</v>
      </c>
      <c r="K48" s="15" t="s">
        <v>301</v>
      </c>
      <c r="L48" s="15" t="s">
        <v>2136</v>
      </c>
      <c r="M48" s="15" t="s">
        <v>177</v>
      </c>
      <c r="N48" s="15" t="s">
        <v>2283</v>
      </c>
      <c r="O48" s="15" t="s">
        <v>525</v>
      </c>
      <c r="P48" s="15" t="s">
        <v>526</v>
      </c>
      <c r="Q48" s="15" t="s">
        <v>552</v>
      </c>
      <c r="R48" s="15" t="s">
        <v>551</v>
      </c>
      <c r="S48" s="15" t="s">
        <v>2230</v>
      </c>
      <c r="T48" s="15" t="s">
        <v>2286</v>
      </c>
      <c r="U48" s="15" t="s">
        <v>2231</v>
      </c>
      <c r="V48" s="15"/>
      <c r="W48" s="15" t="s">
        <v>2263</v>
      </c>
      <c r="X48" s="15" t="s">
        <v>2232</v>
      </c>
      <c r="Y48" s="15" t="s">
        <v>2233</v>
      </c>
      <c r="Z48" s="16" t="s">
        <v>2234</v>
      </c>
      <c r="AA48">
        <v>11870000</v>
      </c>
      <c r="AB48" t="s">
        <v>2457</v>
      </c>
      <c r="AC48">
        <v>4000</v>
      </c>
    </row>
    <row r="49" spans="1:29" x14ac:dyDescent="0.3">
      <c r="A49" s="17" t="s">
        <v>367</v>
      </c>
      <c r="B49" s="18" t="s">
        <v>2409</v>
      </c>
      <c r="C49" s="18" t="s">
        <v>2410</v>
      </c>
      <c r="D49" s="18" t="s">
        <v>58</v>
      </c>
      <c r="E49" s="18" t="s">
        <v>167</v>
      </c>
      <c r="F49" s="18" t="s">
        <v>363</v>
      </c>
      <c r="G49" s="18" t="s">
        <v>364</v>
      </c>
      <c r="H49" s="18" t="s">
        <v>2365</v>
      </c>
      <c r="I49" s="18" t="s">
        <v>366</v>
      </c>
      <c r="J49" s="18" t="s">
        <v>2273</v>
      </c>
      <c r="K49" s="18" t="s">
        <v>368</v>
      </c>
      <c r="L49" s="18" t="s">
        <v>2133</v>
      </c>
      <c r="M49" s="18" t="s">
        <v>177</v>
      </c>
      <c r="N49" s="18" t="s">
        <v>2283</v>
      </c>
      <c r="O49" s="18" t="s">
        <v>525</v>
      </c>
      <c r="P49" s="18" t="s">
        <v>526</v>
      </c>
      <c r="Q49" s="18" t="s">
        <v>552</v>
      </c>
      <c r="R49" s="18" t="s">
        <v>551</v>
      </c>
      <c r="S49" s="18" t="s">
        <v>2230</v>
      </c>
      <c r="T49" s="18" t="s">
        <v>2285</v>
      </c>
      <c r="U49" s="18" t="s">
        <v>2231</v>
      </c>
      <c r="V49" s="18"/>
      <c r="W49" s="18" t="s">
        <v>2263</v>
      </c>
      <c r="X49" s="18" t="s">
        <v>2232</v>
      </c>
      <c r="Y49" s="18" t="s">
        <v>2233</v>
      </c>
      <c r="Z49" s="19" t="s">
        <v>2234</v>
      </c>
      <c r="AA49">
        <v>13000000</v>
      </c>
      <c r="AB49" t="s">
        <v>2458</v>
      </c>
      <c r="AC49">
        <v>10000</v>
      </c>
    </row>
    <row r="50" spans="1:29" x14ac:dyDescent="0.3">
      <c r="A50" s="14" t="s">
        <v>307</v>
      </c>
      <c r="B50" s="15" t="s">
        <v>2409</v>
      </c>
      <c r="C50" s="15" t="s">
        <v>2410</v>
      </c>
      <c r="D50" s="15" t="s">
        <v>41</v>
      </c>
      <c r="E50" s="15" t="s">
        <v>162</v>
      </c>
      <c r="F50" s="15" t="s">
        <v>304</v>
      </c>
      <c r="G50" s="15"/>
      <c r="H50" s="15" t="s">
        <v>2339</v>
      </c>
      <c r="I50" s="15" t="s">
        <v>305</v>
      </c>
      <c r="J50" s="15" t="s">
        <v>306</v>
      </c>
      <c r="K50" s="15" t="s">
        <v>477</v>
      </c>
      <c r="L50" s="15" t="s">
        <v>2192</v>
      </c>
      <c r="M50" s="15" t="s">
        <v>177</v>
      </c>
      <c r="N50" s="15" t="s">
        <v>2283</v>
      </c>
      <c r="O50" s="15" t="s">
        <v>525</v>
      </c>
      <c r="P50" s="15" t="s">
        <v>526</v>
      </c>
      <c r="Q50" s="15" t="s">
        <v>552</v>
      </c>
      <c r="R50" s="15" t="s">
        <v>551</v>
      </c>
      <c r="S50" s="15" t="s">
        <v>2230</v>
      </c>
      <c r="T50" s="15" t="s">
        <v>2286</v>
      </c>
      <c r="U50" s="15" t="s">
        <v>2231</v>
      </c>
      <c r="V50" s="15"/>
      <c r="W50" s="15" t="s">
        <v>2263</v>
      </c>
      <c r="X50" s="15" t="s">
        <v>2232</v>
      </c>
      <c r="Y50" s="15" t="s">
        <v>2233</v>
      </c>
      <c r="Z50" s="16" t="s">
        <v>2234</v>
      </c>
      <c r="AA50">
        <v>11870000</v>
      </c>
      <c r="AB50" t="s">
        <v>2457</v>
      </c>
      <c r="AC50">
        <v>4000</v>
      </c>
    </row>
    <row r="51" spans="1:29" x14ac:dyDescent="0.3">
      <c r="A51" s="17" t="s">
        <v>278</v>
      </c>
      <c r="B51" s="18" t="s">
        <v>2409</v>
      </c>
      <c r="C51" s="18" t="s">
        <v>2410</v>
      </c>
      <c r="D51" s="18" t="s">
        <v>34</v>
      </c>
      <c r="E51" s="18" t="s">
        <v>162</v>
      </c>
      <c r="F51" s="18" t="s">
        <v>275</v>
      </c>
      <c r="G51" s="18"/>
      <c r="H51" s="18" t="s">
        <v>2342</v>
      </c>
      <c r="I51" s="18" t="s">
        <v>276</v>
      </c>
      <c r="J51" s="18" t="s">
        <v>277</v>
      </c>
      <c r="K51" s="18" t="s">
        <v>2379</v>
      </c>
      <c r="L51" s="18" t="s">
        <v>2184</v>
      </c>
      <c r="M51" s="18" t="s">
        <v>177</v>
      </c>
      <c r="N51" s="18" t="s">
        <v>2283</v>
      </c>
      <c r="O51" s="18" t="s">
        <v>525</v>
      </c>
      <c r="P51" s="18" t="s">
        <v>526</v>
      </c>
      <c r="Q51" s="18" t="s">
        <v>552</v>
      </c>
      <c r="R51" s="18" t="s">
        <v>551</v>
      </c>
      <c r="S51" s="18" t="s">
        <v>2230</v>
      </c>
      <c r="T51" s="18" t="s">
        <v>2286</v>
      </c>
      <c r="U51" s="18" t="s">
        <v>2231</v>
      </c>
      <c r="V51" s="18"/>
      <c r="W51" s="18" t="s">
        <v>2263</v>
      </c>
      <c r="X51" s="18" t="s">
        <v>2232</v>
      </c>
      <c r="Y51" s="18" t="s">
        <v>2233</v>
      </c>
      <c r="Z51" s="19" t="s">
        <v>2234</v>
      </c>
      <c r="AA51">
        <v>11870000</v>
      </c>
      <c r="AB51" t="s">
        <v>2457</v>
      </c>
      <c r="AC51">
        <v>4000</v>
      </c>
    </row>
    <row r="52" spans="1:29" x14ac:dyDescent="0.3">
      <c r="A52" s="17" t="s">
        <v>506</v>
      </c>
      <c r="B52" s="18" t="s">
        <v>2409</v>
      </c>
      <c r="C52" s="18" t="s">
        <v>2410</v>
      </c>
      <c r="D52" s="18" t="s">
        <v>61</v>
      </c>
      <c r="E52" s="18" t="s">
        <v>162</v>
      </c>
      <c r="F52" s="18" t="s">
        <v>375</v>
      </c>
      <c r="G52" s="18" t="s">
        <v>376</v>
      </c>
      <c r="H52" s="18" t="s">
        <v>2362</v>
      </c>
      <c r="I52" s="18" t="s">
        <v>378</v>
      </c>
      <c r="J52" s="18" t="s">
        <v>379</v>
      </c>
      <c r="K52" s="18" t="s">
        <v>380</v>
      </c>
      <c r="L52" s="18" t="s">
        <v>2146</v>
      </c>
      <c r="M52" s="18" t="s">
        <v>177</v>
      </c>
      <c r="N52" s="18" t="s">
        <v>2283</v>
      </c>
      <c r="O52" s="18" t="s">
        <v>525</v>
      </c>
      <c r="P52" s="18" t="s">
        <v>526</v>
      </c>
      <c r="Q52" s="18" t="s">
        <v>552</v>
      </c>
      <c r="R52" s="18" t="s">
        <v>551</v>
      </c>
      <c r="S52" s="18" t="s">
        <v>2230</v>
      </c>
      <c r="T52" s="18" t="s">
        <v>2286</v>
      </c>
      <c r="U52" s="18" t="s">
        <v>2231</v>
      </c>
      <c r="V52" s="18"/>
      <c r="W52" s="18" t="s">
        <v>2263</v>
      </c>
      <c r="X52" s="18" t="s">
        <v>2232</v>
      </c>
      <c r="Y52" s="18" t="s">
        <v>2233</v>
      </c>
      <c r="Z52" s="19" t="s">
        <v>2234</v>
      </c>
      <c r="AA52">
        <v>11870000</v>
      </c>
      <c r="AB52" t="s">
        <v>2457</v>
      </c>
      <c r="AC52">
        <v>4000</v>
      </c>
    </row>
    <row r="53" spans="1:29" x14ac:dyDescent="0.3">
      <c r="A53" s="14" t="s">
        <v>472</v>
      </c>
      <c r="B53" s="15" t="s">
        <v>2411</v>
      </c>
      <c r="C53" s="15" t="s">
        <v>2412</v>
      </c>
      <c r="D53" s="15" t="s">
        <v>28</v>
      </c>
      <c r="E53" s="15" t="s">
        <v>162</v>
      </c>
      <c r="F53" s="15" t="s">
        <v>256</v>
      </c>
      <c r="G53" s="15"/>
      <c r="H53" s="15" t="s">
        <v>2332</v>
      </c>
      <c r="I53" s="15" t="s">
        <v>257</v>
      </c>
      <c r="J53" s="15" t="s">
        <v>176</v>
      </c>
      <c r="K53" s="15" t="s">
        <v>473</v>
      </c>
      <c r="L53" s="15" t="s">
        <v>2199</v>
      </c>
      <c r="M53" s="15" t="s">
        <v>177</v>
      </c>
      <c r="N53" s="15" t="s">
        <v>2283</v>
      </c>
      <c r="O53" s="15" t="s">
        <v>525</v>
      </c>
      <c r="P53" s="15" t="s">
        <v>526</v>
      </c>
      <c r="Q53" s="15" t="s">
        <v>552</v>
      </c>
      <c r="R53" s="15" t="s">
        <v>551</v>
      </c>
      <c r="S53" s="15" t="s">
        <v>2230</v>
      </c>
      <c r="T53" s="15" t="s">
        <v>2286</v>
      </c>
      <c r="U53" s="15" t="s">
        <v>2231</v>
      </c>
      <c r="V53" s="15"/>
      <c r="W53" s="15" t="s">
        <v>2263</v>
      </c>
      <c r="X53" s="15" t="s">
        <v>2232</v>
      </c>
      <c r="Y53" s="15" t="s">
        <v>2233</v>
      </c>
      <c r="Z53" s="16" t="s">
        <v>2234</v>
      </c>
      <c r="AA53">
        <v>11870000</v>
      </c>
      <c r="AB53" t="s">
        <v>2457</v>
      </c>
      <c r="AC53">
        <v>4000</v>
      </c>
    </row>
    <row r="54" spans="1:29" x14ac:dyDescent="0.3">
      <c r="A54" s="17" t="s">
        <v>285</v>
      </c>
      <c r="B54" s="18" t="s">
        <v>2411</v>
      </c>
      <c r="C54" s="18" t="s">
        <v>2412</v>
      </c>
      <c r="D54" s="18" t="s">
        <v>36</v>
      </c>
      <c r="E54" s="18" t="s">
        <v>167</v>
      </c>
      <c r="F54" s="18" t="s">
        <v>258</v>
      </c>
      <c r="G54" s="18" t="s">
        <v>283</v>
      </c>
      <c r="H54" s="18" t="s">
        <v>2342</v>
      </c>
      <c r="I54" s="18">
        <v>1817</v>
      </c>
      <c r="J54" s="18" t="s">
        <v>284</v>
      </c>
      <c r="K54" s="18" t="s">
        <v>286</v>
      </c>
      <c r="L54" s="18" t="s">
        <v>2183</v>
      </c>
      <c r="M54" s="18" t="s">
        <v>177</v>
      </c>
      <c r="N54" s="18" t="s">
        <v>2283</v>
      </c>
      <c r="O54" s="18" t="s">
        <v>525</v>
      </c>
      <c r="P54" s="18" t="s">
        <v>526</v>
      </c>
      <c r="Q54" s="18" t="s">
        <v>552</v>
      </c>
      <c r="R54" s="18" t="s">
        <v>551</v>
      </c>
      <c r="S54" s="18" t="s">
        <v>2230</v>
      </c>
      <c r="T54" s="18" t="s">
        <v>2285</v>
      </c>
      <c r="U54" s="18" t="s">
        <v>2231</v>
      </c>
      <c r="V54" s="18"/>
      <c r="W54" s="18" t="s">
        <v>2263</v>
      </c>
      <c r="X54" s="18" t="s">
        <v>2232</v>
      </c>
      <c r="Y54" s="18" t="s">
        <v>2233</v>
      </c>
      <c r="Z54" s="19" t="s">
        <v>2234</v>
      </c>
      <c r="AA54">
        <v>13000000</v>
      </c>
      <c r="AB54" t="s">
        <v>2458</v>
      </c>
      <c r="AC54">
        <v>10000</v>
      </c>
    </row>
    <row r="55" spans="1:29" x14ac:dyDescent="0.3">
      <c r="A55" s="17" t="s">
        <v>250</v>
      </c>
      <c r="B55" s="18" t="s">
        <v>2411</v>
      </c>
      <c r="C55" s="18" t="s">
        <v>2412</v>
      </c>
      <c r="D55" s="18" t="s">
        <v>26</v>
      </c>
      <c r="E55" s="18" t="s">
        <v>162</v>
      </c>
      <c r="F55" s="18" t="s">
        <v>248</v>
      </c>
      <c r="G55" s="18" t="s">
        <v>2276</v>
      </c>
      <c r="H55" s="18" t="s">
        <v>2335</v>
      </c>
      <c r="I55" s="18">
        <v>1700</v>
      </c>
      <c r="J55" s="18" t="s">
        <v>249</v>
      </c>
      <c r="K55" s="18" t="s">
        <v>2380</v>
      </c>
      <c r="L55" s="18" t="s">
        <v>2156</v>
      </c>
      <c r="M55" s="18" t="s">
        <v>177</v>
      </c>
      <c r="N55" s="18" t="s">
        <v>2283</v>
      </c>
      <c r="O55" s="18" t="s">
        <v>525</v>
      </c>
      <c r="P55" s="18" t="s">
        <v>526</v>
      </c>
      <c r="Q55" s="18" t="s">
        <v>552</v>
      </c>
      <c r="R55" s="18" t="s">
        <v>551</v>
      </c>
      <c r="S55" s="18" t="s">
        <v>2230</v>
      </c>
      <c r="T55" s="18" t="s">
        <v>2286</v>
      </c>
      <c r="U55" s="18" t="s">
        <v>2231</v>
      </c>
      <c r="V55" s="18"/>
      <c r="W55" s="18" t="s">
        <v>2263</v>
      </c>
      <c r="X55" s="18" t="s">
        <v>2232</v>
      </c>
      <c r="Y55" s="18" t="s">
        <v>2233</v>
      </c>
      <c r="Z55" s="19" t="s">
        <v>2234</v>
      </c>
      <c r="AA55">
        <v>11870000</v>
      </c>
      <c r="AB55" t="s">
        <v>2457</v>
      </c>
      <c r="AC55">
        <v>4000</v>
      </c>
    </row>
    <row r="56" spans="1:29" x14ac:dyDescent="0.3">
      <c r="A56" s="17" t="s">
        <v>438</v>
      </c>
      <c r="B56" s="18" t="s">
        <v>2411</v>
      </c>
      <c r="C56" s="18" t="s">
        <v>2412</v>
      </c>
      <c r="D56" s="18" t="s">
        <v>80</v>
      </c>
      <c r="E56" s="18" t="s">
        <v>162</v>
      </c>
      <c r="F56" s="18" t="s">
        <v>232</v>
      </c>
      <c r="G56" s="18"/>
      <c r="H56" s="18" t="s">
        <v>2352</v>
      </c>
      <c r="I56" s="18" t="s">
        <v>437</v>
      </c>
      <c r="J56" s="18" t="s">
        <v>302</v>
      </c>
      <c r="K56" s="18" t="s">
        <v>508</v>
      </c>
      <c r="L56" s="18" t="s">
        <v>2190</v>
      </c>
      <c r="M56" s="18" t="s">
        <v>177</v>
      </c>
      <c r="N56" s="18" t="s">
        <v>2283</v>
      </c>
      <c r="O56" s="18" t="s">
        <v>525</v>
      </c>
      <c r="P56" s="18" t="s">
        <v>526</v>
      </c>
      <c r="Q56" s="18" t="s">
        <v>552</v>
      </c>
      <c r="R56" s="18" t="s">
        <v>551</v>
      </c>
      <c r="S56" s="18" t="s">
        <v>2230</v>
      </c>
      <c r="T56" s="18" t="s">
        <v>2286</v>
      </c>
      <c r="U56" s="18" t="s">
        <v>2231</v>
      </c>
      <c r="V56" s="18"/>
      <c r="W56" s="18" t="s">
        <v>2263</v>
      </c>
      <c r="X56" s="18" t="s">
        <v>2232</v>
      </c>
      <c r="Y56" s="18" t="s">
        <v>2233</v>
      </c>
      <c r="Z56" s="19" t="s">
        <v>2234</v>
      </c>
      <c r="AA56">
        <v>11870000</v>
      </c>
      <c r="AB56" t="s">
        <v>2457</v>
      </c>
      <c r="AC56">
        <v>4000</v>
      </c>
    </row>
    <row r="57" spans="1:29" x14ac:dyDescent="0.3">
      <c r="A57" s="14" t="s">
        <v>490</v>
      </c>
      <c r="B57" s="15" t="s">
        <v>2411</v>
      </c>
      <c r="C57" s="15" t="s">
        <v>2412</v>
      </c>
      <c r="D57" s="15" t="s">
        <v>69</v>
      </c>
      <c r="E57" s="15" t="s">
        <v>162</v>
      </c>
      <c r="F57" s="15" t="s">
        <v>223</v>
      </c>
      <c r="G57" s="15"/>
      <c r="H57" s="15" t="s">
        <v>2342</v>
      </c>
      <c r="I57" s="15" t="s">
        <v>404</v>
      </c>
      <c r="J57" s="15" t="s">
        <v>2266</v>
      </c>
      <c r="K57" s="15" t="s">
        <v>491</v>
      </c>
      <c r="L57" s="15" t="s">
        <v>2185</v>
      </c>
      <c r="M57" s="15" t="s">
        <v>177</v>
      </c>
      <c r="N57" s="15" t="s">
        <v>2283</v>
      </c>
      <c r="O57" s="15" t="s">
        <v>525</v>
      </c>
      <c r="P57" s="15" t="s">
        <v>526</v>
      </c>
      <c r="Q57" s="15" t="s">
        <v>552</v>
      </c>
      <c r="R57" s="15" t="s">
        <v>551</v>
      </c>
      <c r="S57" s="15" t="s">
        <v>2230</v>
      </c>
      <c r="T57" s="15" t="s">
        <v>2286</v>
      </c>
      <c r="U57" s="15" t="s">
        <v>2231</v>
      </c>
      <c r="V57" s="15"/>
      <c r="W57" s="15" t="s">
        <v>2263</v>
      </c>
      <c r="X57" s="15" t="s">
        <v>2232</v>
      </c>
      <c r="Y57" s="15" t="s">
        <v>2233</v>
      </c>
      <c r="Z57" s="16" t="s">
        <v>2234</v>
      </c>
      <c r="AA57">
        <v>11870000</v>
      </c>
      <c r="AB57" t="s">
        <v>2457</v>
      </c>
      <c r="AC57">
        <v>4000</v>
      </c>
    </row>
    <row r="58" spans="1:29" x14ac:dyDescent="0.3">
      <c r="A58" s="14" t="s">
        <v>509</v>
      </c>
      <c r="B58" s="15" t="s">
        <v>2413</v>
      </c>
      <c r="C58" s="15" t="s">
        <v>2414</v>
      </c>
      <c r="D58" s="15" t="s">
        <v>20</v>
      </c>
      <c r="E58" s="15" t="s">
        <v>162</v>
      </c>
      <c r="F58" s="15" t="s">
        <v>181</v>
      </c>
      <c r="G58" s="15"/>
      <c r="H58" s="15" t="s">
        <v>228</v>
      </c>
      <c r="I58" s="15" t="s">
        <v>229</v>
      </c>
      <c r="J58" s="15" t="s">
        <v>230</v>
      </c>
      <c r="K58" s="15" t="s">
        <v>231</v>
      </c>
      <c r="L58" s="15" t="s">
        <v>2145</v>
      </c>
      <c r="M58" s="15" t="s">
        <v>177</v>
      </c>
      <c r="N58" s="15" t="s">
        <v>2283</v>
      </c>
      <c r="O58" s="15" t="s">
        <v>525</v>
      </c>
      <c r="P58" s="15" t="s">
        <v>526</v>
      </c>
      <c r="Q58" s="15" t="s">
        <v>552</v>
      </c>
      <c r="R58" s="15" t="s">
        <v>551</v>
      </c>
      <c r="S58" s="15" t="s">
        <v>2230</v>
      </c>
      <c r="T58" s="15" t="s">
        <v>2286</v>
      </c>
      <c r="U58" s="15" t="s">
        <v>2231</v>
      </c>
      <c r="V58" s="15"/>
      <c r="W58" s="15" t="s">
        <v>2263</v>
      </c>
      <c r="X58" s="15" t="s">
        <v>2232</v>
      </c>
      <c r="Y58" s="15" t="s">
        <v>2233</v>
      </c>
      <c r="Z58" s="16" t="s">
        <v>2234</v>
      </c>
      <c r="AA58">
        <v>11870000</v>
      </c>
      <c r="AB58" t="s">
        <v>2457</v>
      </c>
      <c r="AC58">
        <v>4000</v>
      </c>
    </row>
    <row r="59" spans="1:29" x14ac:dyDescent="0.3">
      <c r="A59" s="14" t="s">
        <v>607</v>
      </c>
      <c r="B59" s="15" t="s">
        <v>2413</v>
      </c>
      <c r="C59" s="15" t="s">
        <v>2414</v>
      </c>
      <c r="D59" s="15" t="s">
        <v>16</v>
      </c>
      <c r="E59" s="15" t="s">
        <v>162</v>
      </c>
      <c r="F59" s="15" t="s">
        <v>163</v>
      </c>
      <c r="G59" s="15"/>
      <c r="H59" s="15" t="s">
        <v>2343</v>
      </c>
      <c r="I59" s="15" t="s">
        <v>165</v>
      </c>
      <c r="J59" s="15" t="s">
        <v>166</v>
      </c>
      <c r="K59" s="15" t="s">
        <v>464</v>
      </c>
      <c r="L59" s="15" t="s">
        <v>2193</v>
      </c>
      <c r="M59" s="15" t="s">
        <v>177</v>
      </c>
      <c r="N59" s="15" t="s">
        <v>2283</v>
      </c>
      <c r="O59" s="15" t="s">
        <v>525</v>
      </c>
      <c r="P59" s="15" t="s">
        <v>526</v>
      </c>
      <c r="Q59" s="15" t="s">
        <v>552</v>
      </c>
      <c r="R59" s="15" t="s">
        <v>551</v>
      </c>
      <c r="S59" s="15" t="s">
        <v>2230</v>
      </c>
      <c r="T59" s="15" t="s">
        <v>2286</v>
      </c>
      <c r="U59" s="15" t="s">
        <v>2231</v>
      </c>
      <c r="V59" s="15"/>
      <c r="W59" s="15" t="s">
        <v>2263</v>
      </c>
      <c r="X59" s="15" t="s">
        <v>2232</v>
      </c>
      <c r="Y59" s="15" t="s">
        <v>2233</v>
      </c>
      <c r="Z59" s="16" t="s">
        <v>2234</v>
      </c>
      <c r="AA59">
        <v>11870000</v>
      </c>
      <c r="AB59" t="s">
        <v>2457</v>
      </c>
      <c r="AC59">
        <v>4000</v>
      </c>
    </row>
    <row r="60" spans="1:29" x14ac:dyDescent="0.3">
      <c r="A60" s="17" t="s">
        <v>218</v>
      </c>
      <c r="B60" s="18" t="s">
        <v>2413</v>
      </c>
      <c r="C60" s="18" t="s">
        <v>2414</v>
      </c>
      <c r="D60" s="18" t="s">
        <v>13</v>
      </c>
      <c r="E60" s="18" t="s">
        <v>167</v>
      </c>
      <c r="F60" s="18" t="s">
        <v>13</v>
      </c>
      <c r="G60" s="18" t="s">
        <v>184</v>
      </c>
      <c r="H60" s="18" t="s">
        <v>2342</v>
      </c>
      <c r="I60" s="18" t="s">
        <v>217</v>
      </c>
      <c r="J60" s="18" t="s">
        <v>2273</v>
      </c>
      <c r="K60" s="18" t="s">
        <v>448</v>
      </c>
      <c r="L60" s="18" t="s">
        <v>2186</v>
      </c>
      <c r="M60" s="18" t="s">
        <v>177</v>
      </c>
      <c r="N60" s="18" t="s">
        <v>2283</v>
      </c>
      <c r="O60" s="18" t="s">
        <v>525</v>
      </c>
      <c r="P60" s="18" t="s">
        <v>526</v>
      </c>
      <c r="Q60" s="18" t="s">
        <v>552</v>
      </c>
      <c r="R60" s="18" t="s">
        <v>551</v>
      </c>
      <c r="S60" s="18" t="s">
        <v>2230</v>
      </c>
      <c r="T60" s="18" t="s">
        <v>2285</v>
      </c>
      <c r="U60" s="18" t="s">
        <v>2231</v>
      </c>
      <c r="V60" s="18"/>
      <c r="W60" s="18" t="s">
        <v>2263</v>
      </c>
      <c r="X60" s="18" t="s">
        <v>2232</v>
      </c>
      <c r="Y60" s="18" t="s">
        <v>2233</v>
      </c>
      <c r="Z60" s="19" t="s">
        <v>2234</v>
      </c>
      <c r="AA60">
        <v>13000000</v>
      </c>
      <c r="AB60" t="s">
        <v>2458</v>
      </c>
      <c r="AC60">
        <v>10000</v>
      </c>
    </row>
    <row r="61" spans="1:29" x14ac:dyDescent="0.3">
      <c r="A61" s="14" t="s">
        <v>187</v>
      </c>
      <c r="B61" s="15" t="s">
        <v>2413</v>
      </c>
      <c r="C61" s="15" t="s">
        <v>2414</v>
      </c>
      <c r="D61" s="15" t="s">
        <v>5</v>
      </c>
      <c r="E61" s="15" t="s">
        <v>167</v>
      </c>
      <c r="F61" s="15" t="s">
        <v>5</v>
      </c>
      <c r="G61" s="15" t="s">
        <v>184</v>
      </c>
      <c r="H61" s="15" t="s">
        <v>2342</v>
      </c>
      <c r="I61" s="15" t="s">
        <v>185</v>
      </c>
      <c r="J61" s="15" t="s">
        <v>2273</v>
      </c>
      <c r="K61" s="15" t="s">
        <v>446</v>
      </c>
      <c r="L61" s="15" t="s">
        <v>2187</v>
      </c>
      <c r="M61" s="15" t="s">
        <v>177</v>
      </c>
      <c r="N61" s="15" t="s">
        <v>2283</v>
      </c>
      <c r="O61" s="15" t="s">
        <v>525</v>
      </c>
      <c r="P61" s="15" t="s">
        <v>526</v>
      </c>
      <c r="Q61" s="15" t="s">
        <v>552</v>
      </c>
      <c r="R61" s="15" t="s">
        <v>551</v>
      </c>
      <c r="S61" s="15" t="s">
        <v>2230</v>
      </c>
      <c r="T61" s="15" t="s">
        <v>2285</v>
      </c>
      <c r="U61" s="15" t="s">
        <v>2231</v>
      </c>
      <c r="V61" s="15"/>
      <c r="W61" s="15" t="s">
        <v>2263</v>
      </c>
      <c r="X61" s="15" t="s">
        <v>2232</v>
      </c>
      <c r="Y61" s="15" t="s">
        <v>2233</v>
      </c>
      <c r="Z61" s="16" t="s">
        <v>2234</v>
      </c>
      <c r="AA61">
        <v>13000000</v>
      </c>
      <c r="AB61" t="s">
        <v>2458</v>
      </c>
      <c r="AC61">
        <v>10000</v>
      </c>
    </row>
    <row r="62" spans="1:29" x14ac:dyDescent="0.3">
      <c r="A62" s="17" t="s">
        <v>670</v>
      </c>
      <c r="B62" s="18" t="s">
        <v>2415</v>
      </c>
      <c r="C62" s="18" t="s">
        <v>2416</v>
      </c>
      <c r="D62" s="18" t="s">
        <v>15</v>
      </c>
      <c r="E62" s="18" t="s">
        <v>162</v>
      </c>
      <c r="F62" s="18" t="s">
        <v>226</v>
      </c>
      <c r="G62" s="18"/>
      <c r="H62" s="18" t="s">
        <v>2332</v>
      </c>
      <c r="I62" s="18" t="s">
        <v>227</v>
      </c>
      <c r="J62" s="18" t="s">
        <v>2275</v>
      </c>
      <c r="K62" s="18" t="s">
        <v>470</v>
      </c>
      <c r="L62" s="18" t="s">
        <v>2200</v>
      </c>
      <c r="M62" s="18" t="s">
        <v>574</v>
      </c>
      <c r="N62" s="18" t="s">
        <v>575</v>
      </c>
      <c r="O62" s="18" t="s">
        <v>576</v>
      </c>
      <c r="P62" s="18" t="s">
        <v>577</v>
      </c>
      <c r="Q62" s="18" t="s">
        <v>578</v>
      </c>
      <c r="R62" s="18" t="s">
        <v>579</v>
      </c>
      <c r="S62" s="18" t="s">
        <v>2256</v>
      </c>
      <c r="T62" s="18" t="s">
        <v>2290</v>
      </c>
      <c r="U62" s="18" t="s">
        <v>2257</v>
      </c>
      <c r="V62" s="18"/>
      <c r="W62" s="18" t="s">
        <v>2258</v>
      </c>
      <c r="X62" s="18" t="s">
        <v>2246</v>
      </c>
      <c r="Y62" s="18" t="s">
        <v>2259</v>
      </c>
      <c r="Z62" s="19" t="s">
        <v>2260</v>
      </c>
      <c r="AA62">
        <v>15400000</v>
      </c>
      <c r="AB62" t="s">
        <v>2459</v>
      </c>
      <c r="AC62">
        <v>1000</v>
      </c>
    </row>
    <row r="63" spans="1:29" x14ac:dyDescent="0.3">
      <c r="A63" s="17" t="s">
        <v>665</v>
      </c>
      <c r="B63" s="18" t="s">
        <v>2415</v>
      </c>
      <c r="C63" s="18" t="s">
        <v>2416</v>
      </c>
      <c r="D63" s="18" t="s">
        <v>75</v>
      </c>
      <c r="E63" s="18" t="s">
        <v>162</v>
      </c>
      <c r="F63" s="18" t="s">
        <v>421</v>
      </c>
      <c r="G63" s="18" t="s">
        <v>2368</v>
      </c>
      <c r="H63" s="18" t="s">
        <v>2335</v>
      </c>
      <c r="I63" s="18" t="s">
        <v>225</v>
      </c>
      <c r="J63" s="18" t="s">
        <v>423</v>
      </c>
      <c r="K63" s="18" t="s">
        <v>494</v>
      </c>
      <c r="L63" s="18" t="s">
        <v>2157</v>
      </c>
      <c r="M63" s="18" t="s">
        <v>574</v>
      </c>
      <c r="N63" s="18" t="s">
        <v>575</v>
      </c>
      <c r="O63" s="18" t="s">
        <v>576</v>
      </c>
      <c r="P63" s="18" t="s">
        <v>577</v>
      </c>
      <c r="Q63" s="18" t="s">
        <v>578</v>
      </c>
      <c r="R63" s="18" t="s">
        <v>579</v>
      </c>
      <c r="S63" s="18" t="s">
        <v>2256</v>
      </c>
      <c r="T63" s="18" t="s">
        <v>2290</v>
      </c>
      <c r="U63" s="18" t="s">
        <v>2257</v>
      </c>
      <c r="V63" s="18"/>
      <c r="W63" s="18" t="s">
        <v>2258</v>
      </c>
      <c r="X63" s="18" t="s">
        <v>2246</v>
      </c>
      <c r="Y63" s="18" t="s">
        <v>2259</v>
      </c>
      <c r="Z63" s="19" t="s">
        <v>2260</v>
      </c>
      <c r="AA63">
        <v>15400000</v>
      </c>
      <c r="AB63" t="s">
        <v>2459</v>
      </c>
      <c r="AC63">
        <v>1000</v>
      </c>
    </row>
    <row r="64" spans="1:29" x14ac:dyDescent="0.3">
      <c r="A64" s="14" t="s">
        <v>668</v>
      </c>
      <c r="B64" s="15" t="s">
        <v>2415</v>
      </c>
      <c r="C64" s="15" t="s">
        <v>2416</v>
      </c>
      <c r="D64" s="15" t="s">
        <v>42</v>
      </c>
      <c r="E64" s="15" t="s">
        <v>162</v>
      </c>
      <c r="F64" s="15" t="s">
        <v>308</v>
      </c>
      <c r="G64" s="15"/>
      <c r="H64" s="15" t="s">
        <v>2352</v>
      </c>
      <c r="I64" s="15">
        <v>1776</v>
      </c>
      <c r="J64" s="15" t="s">
        <v>310</v>
      </c>
      <c r="K64" s="15" t="s">
        <v>311</v>
      </c>
      <c r="L64" s="15" t="s">
        <v>2161</v>
      </c>
      <c r="M64" s="15" t="s">
        <v>574</v>
      </c>
      <c r="N64" s="15" t="s">
        <v>575</v>
      </c>
      <c r="O64" s="15" t="s">
        <v>576</v>
      </c>
      <c r="P64" s="15" t="s">
        <v>577</v>
      </c>
      <c r="Q64" s="15" t="s">
        <v>578</v>
      </c>
      <c r="R64" s="15" t="s">
        <v>579</v>
      </c>
      <c r="S64" s="15" t="s">
        <v>2256</v>
      </c>
      <c r="T64" s="15" t="s">
        <v>2289</v>
      </c>
      <c r="U64" s="15" t="s">
        <v>2257</v>
      </c>
      <c r="V64" s="15"/>
      <c r="W64" s="15" t="s">
        <v>2258</v>
      </c>
      <c r="X64" s="15" t="s">
        <v>2246</v>
      </c>
      <c r="Y64" s="15" t="s">
        <v>2259</v>
      </c>
      <c r="Z64" s="16" t="s">
        <v>2260</v>
      </c>
      <c r="AA64">
        <v>5560000</v>
      </c>
      <c r="AB64" t="s">
        <v>2460</v>
      </c>
      <c r="AC64">
        <v>7000</v>
      </c>
    </row>
    <row r="65" spans="1:29" x14ac:dyDescent="0.3">
      <c r="A65" s="14" t="s">
        <v>669</v>
      </c>
      <c r="B65" s="15" t="s">
        <v>2415</v>
      </c>
      <c r="C65" s="15" t="s">
        <v>2416</v>
      </c>
      <c r="D65" s="15" t="s">
        <v>19</v>
      </c>
      <c r="E65" s="15" t="s">
        <v>162</v>
      </c>
      <c r="F65" s="15" t="s">
        <v>223</v>
      </c>
      <c r="G65" s="15"/>
      <c r="H65" s="15" t="s">
        <v>2340</v>
      </c>
      <c r="I65" s="15" t="s">
        <v>225</v>
      </c>
      <c r="J65" s="15" t="s">
        <v>2271</v>
      </c>
      <c r="K65" s="15" t="s">
        <v>469</v>
      </c>
      <c r="L65" s="20" t="s">
        <v>2204</v>
      </c>
      <c r="M65" s="15" t="s">
        <v>574</v>
      </c>
      <c r="N65" s="15" t="s">
        <v>575</v>
      </c>
      <c r="O65" s="15" t="s">
        <v>576</v>
      </c>
      <c r="P65" s="15" t="s">
        <v>577</v>
      </c>
      <c r="Q65" s="15" t="s">
        <v>578</v>
      </c>
      <c r="R65" s="15" t="s">
        <v>579</v>
      </c>
      <c r="S65" s="15" t="s">
        <v>2256</v>
      </c>
      <c r="T65" s="15" t="s">
        <v>2290</v>
      </c>
      <c r="U65" s="15" t="s">
        <v>2257</v>
      </c>
      <c r="V65" s="15"/>
      <c r="W65" s="15" t="s">
        <v>2258</v>
      </c>
      <c r="X65" s="15" t="s">
        <v>2246</v>
      </c>
      <c r="Y65" s="15" t="s">
        <v>2259</v>
      </c>
      <c r="Z65" s="16" t="s">
        <v>2260</v>
      </c>
      <c r="AA65">
        <v>15400000</v>
      </c>
      <c r="AB65" t="s">
        <v>2459</v>
      </c>
      <c r="AC65">
        <v>1000</v>
      </c>
    </row>
    <row r="66" spans="1:29" x14ac:dyDescent="0.3">
      <c r="A66" s="14" t="s">
        <v>666</v>
      </c>
      <c r="B66" s="15" t="s">
        <v>2415</v>
      </c>
      <c r="C66" s="15" t="s">
        <v>2416</v>
      </c>
      <c r="D66" s="15" t="s">
        <v>64</v>
      </c>
      <c r="E66" s="15" t="s">
        <v>162</v>
      </c>
      <c r="F66" s="15" t="s">
        <v>387</v>
      </c>
      <c r="G66" s="15" t="s">
        <v>388</v>
      </c>
      <c r="H66" s="15" t="s">
        <v>2335</v>
      </c>
      <c r="I66" s="15" t="s">
        <v>389</v>
      </c>
      <c r="J66" s="15" t="s">
        <v>390</v>
      </c>
      <c r="K66" s="15" t="s">
        <v>391</v>
      </c>
      <c r="L66" s="15" t="s">
        <v>2158</v>
      </c>
      <c r="M66" s="15" t="s">
        <v>574</v>
      </c>
      <c r="N66" s="15" t="s">
        <v>575</v>
      </c>
      <c r="O66" s="15" t="s">
        <v>576</v>
      </c>
      <c r="P66" s="15" t="s">
        <v>577</v>
      </c>
      <c r="Q66" s="15" t="s">
        <v>578</v>
      </c>
      <c r="R66" s="15" t="s">
        <v>579</v>
      </c>
      <c r="S66" s="15" t="s">
        <v>2256</v>
      </c>
      <c r="T66" s="15" t="s">
        <v>2290</v>
      </c>
      <c r="U66" s="15" t="s">
        <v>2257</v>
      </c>
      <c r="V66" s="15"/>
      <c r="W66" s="15" t="s">
        <v>2258</v>
      </c>
      <c r="X66" s="15" t="s">
        <v>2246</v>
      </c>
      <c r="Y66" s="15" t="s">
        <v>2259</v>
      </c>
      <c r="Z66" s="16" t="s">
        <v>2260</v>
      </c>
      <c r="AA66">
        <v>15400000</v>
      </c>
      <c r="AB66" t="s">
        <v>2459</v>
      </c>
      <c r="AC66">
        <v>1000</v>
      </c>
    </row>
    <row r="67" spans="1:29" x14ac:dyDescent="0.3">
      <c r="A67" s="17" t="s">
        <v>667</v>
      </c>
      <c r="B67" s="18" t="s">
        <v>2415</v>
      </c>
      <c r="C67" s="18" t="s">
        <v>2416</v>
      </c>
      <c r="D67" s="18" t="s">
        <v>48</v>
      </c>
      <c r="E67" s="18" t="s">
        <v>162</v>
      </c>
      <c r="F67" s="18" t="s">
        <v>287</v>
      </c>
      <c r="G67" s="18"/>
      <c r="H67" s="18" t="s">
        <v>2363</v>
      </c>
      <c r="I67" s="18" t="s">
        <v>334</v>
      </c>
      <c r="J67" s="18" t="s">
        <v>336</v>
      </c>
      <c r="K67" s="18" t="s">
        <v>504</v>
      </c>
      <c r="L67" s="18" t="s">
        <v>2139</v>
      </c>
      <c r="M67" s="18" t="s">
        <v>574</v>
      </c>
      <c r="N67" s="18" t="s">
        <v>575</v>
      </c>
      <c r="O67" s="18" t="s">
        <v>576</v>
      </c>
      <c r="P67" s="18" t="s">
        <v>577</v>
      </c>
      <c r="Q67" s="18" t="s">
        <v>578</v>
      </c>
      <c r="R67" s="18" t="s">
        <v>579</v>
      </c>
      <c r="S67" s="18" t="s">
        <v>2256</v>
      </c>
      <c r="T67" s="18" t="s">
        <v>2290</v>
      </c>
      <c r="U67" s="18" t="s">
        <v>2257</v>
      </c>
      <c r="V67" s="18"/>
      <c r="W67" s="18" t="s">
        <v>2258</v>
      </c>
      <c r="X67" s="18" t="s">
        <v>2246</v>
      </c>
      <c r="Y67" s="18" t="s">
        <v>2259</v>
      </c>
      <c r="Z67" s="19" t="s">
        <v>2260</v>
      </c>
      <c r="AA67">
        <v>15400000</v>
      </c>
      <c r="AB67" t="s">
        <v>2459</v>
      </c>
      <c r="AC67">
        <v>1000</v>
      </c>
    </row>
    <row r="68" spans="1:29" x14ac:dyDescent="0.3">
      <c r="A68" s="14" t="s">
        <v>664</v>
      </c>
      <c r="B68" s="15" t="s">
        <v>2415</v>
      </c>
      <c r="C68" s="15" t="s">
        <v>2416</v>
      </c>
      <c r="D68" s="15" t="s">
        <v>37</v>
      </c>
      <c r="E68" s="15" t="s">
        <v>162</v>
      </c>
      <c r="F68" s="15" t="s">
        <v>287</v>
      </c>
      <c r="G68" s="15" t="s">
        <v>288</v>
      </c>
      <c r="H68" s="15" t="s">
        <v>2360</v>
      </c>
      <c r="I68" s="15" t="s">
        <v>290</v>
      </c>
      <c r="J68" s="15" t="s">
        <v>291</v>
      </c>
      <c r="K68" s="15" t="s">
        <v>475</v>
      </c>
      <c r="L68" s="15" t="s">
        <v>2173</v>
      </c>
      <c r="M68" s="15" t="s">
        <v>574</v>
      </c>
      <c r="N68" s="15" t="s">
        <v>575</v>
      </c>
      <c r="O68" s="15" t="s">
        <v>576</v>
      </c>
      <c r="P68" s="15" t="s">
        <v>577</v>
      </c>
      <c r="Q68" s="15" t="s">
        <v>578</v>
      </c>
      <c r="R68" s="15" t="s">
        <v>579</v>
      </c>
      <c r="S68" s="15" t="s">
        <v>2256</v>
      </c>
      <c r="T68" s="15" t="s">
        <v>2290</v>
      </c>
      <c r="U68" s="15" t="s">
        <v>2257</v>
      </c>
      <c r="V68" s="15"/>
      <c r="W68" s="15" t="s">
        <v>2258</v>
      </c>
      <c r="X68" s="15" t="s">
        <v>2246</v>
      </c>
      <c r="Y68" s="15" t="s">
        <v>2259</v>
      </c>
      <c r="Z68" s="16" t="s">
        <v>2260</v>
      </c>
      <c r="AA68">
        <v>15400000</v>
      </c>
      <c r="AB68" t="s">
        <v>2459</v>
      </c>
      <c r="AC68">
        <v>1000</v>
      </c>
    </row>
    <row r="69" spans="1:29" x14ac:dyDescent="0.3">
      <c r="A69" s="14" t="s">
        <v>678</v>
      </c>
      <c r="B69" s="15" t="s">
        <v>2417</v>
      </c>
      <c r="C69" s="15" t="s">
        <v>2418</v>
      </c>
      <c r="D69" s="15" t="s">
        <v>30</v>
      </c>
      <c r="E69" s="15" t="s">
        <v>162</v>
      </c>
      <c r="F69" s="15" t="s">
        <v>261</v>
      </c>
      <c r="G69" s="15"/>
      <c r="H69" s="15" t="s">
        <v>2332</v>
      </c>
      <c r="I69" s="15" t="s">
        <v>262</v>
      </c>
      <c r="J69" s="15" t="s">
        <v>263</v>
      </c>
      <c r="K69" s="15" t="s">
        <v>474</v>
      </c>
      <c r="L69" s="15" t="s">
        <v>2168</v>
      </c>
      <c r="M69" s="15" t="s">
        <v>590</v>
      </c>
      <c r="N69" s="15" t="s">
        <v>591</v>
      </c>
      <c r="O69" s="15" t="s">
        <v>592</v>
      </c>
      <c r="P69" s="15" t="s">
        <v>593</v>
      </c>
      <c r="Q69" s="15" t="s">
        <v>594</v>
      </c>
      <c r="R69" s="15" t="s">
        <v>595</v>
      </c>
      <c r="S69" s="15" t="s">
        <v>2243</v>
      </c>
      <c r="T69" s="15" t="s">
        <v>2284</v>
      </c>
      <c r="U69" s="15" t="s">
        <v>2244</v>
      </c>
      <c r="V69" s="15"/>
      <c r="W69" s="15" t="s">
        <v>254</v>
      </c>
      <c r="X69" s="15" t="s">
        <v>537</v>
      </c>
      <c r="Y69" s="15">
        <v>10038</v>
      </c>
      <c r="Z69" s="16" t="s">
        <v>2245</v>
      </c>
      <c r="AA69">
        <v>9010000</v>
      </c>
      <c r="AB69" t="s">
        <v>2461</v>
      </c>
      <c r="AC69">
        <v>4000</v>
      </c>
    </row>
    <row r="70" spans="1:29" x14ac:dyDescent="0.3">
      <c r="A70" s="17" t="s">
        <v>676</v>
      </c>
      <c r="B70" s="18" t="s">
        <v>2417</v>
      </c>
      <c r="C70" s="18" t="s">
        <v>2418</v>
      </c>
      <c r="D70" s="18" t="s">
        <v>32</v>
      </c>
      <c r="E70" s="18" t="s">
        <v>162</v>
      </c>
      <c r="F70" s="18" t="s">
        <v>268</v>
      </c>
      <c r="G70" s="18"/>
      <c r="H70" s="18" t="s">
        <v>2356</v>
      </c>
      <c r="I70" s="18" t="s">
        <v>270</v>
      </c>
      <c r="J70" s="18" t="s">
        <v>271</v>
      </c>
      <c r="K70" s="18" t="s">
        <v>272</v>
      </c>
      <c r="L70" s="18" t="s">
        <v>2175</v>
      </c>
      <c r="M70" s="18" t="s">
        <v>590</v>
      </c>
      <c r="N70" s="18" t="s">
        <v>591</v>
      </c>
      <c r="O70" s="18" t="s">
        <v>592</v>
      </c>
      <c r="P70" s="18" t="s">
        <v>593</v>
      </c>
      <c r="Q70" s="18" t="s">
        <v>594</v>
      </c>
      <c r="R70" s="18" t="s">
        <v>595</v>
      </c>
      <c r="S70" s="18" t="s">
        <v>2243</v>
      </c>
      <c r="T70" s="18" t="s">
        <v>2284</v>
      </c>
      <c r="U70" s="18" t="s">
        <v>2244</v>
      </c>
      <c r="V70" s="18"/>
      <c r="W70" s="18" t="s">
        <v>254</v>
      </c>
      <c r="X70" s="18" t="s">
        <v>537</v>
      </c>
      <c r="Y70" s="18">
        <v>10038</v>
      </c>
      <c r="Z70" s="19" t="s">
        <v>2245</v>
      </c>
      <c r="AA70">
        <v>9010000</v>
      </c>
      <c r="AB70" t="s">
        <v>2461</v>
      </c>
      <c r="AC70">
        <v>4000</v>
      </c>
    </row>
    <row r="71" spans="1:29" x14ac:dyDescent="0.3">
      <c r="A71" s="17" t="s">
        <v>679</v>
      </c>
      <c r="B71" s="18" t="s">
        <v>2417</v>
      </c>
      <c r="C71" s="18" t="s">
        <v>2418</v>
      </c>
      <c r="D71" s="18" t="s">
        <v>71</v>
      </c>
      <c r="E71" s="18" t="s">
        <v>162</v>
      </c>
      <c r="F71" s="18" t="s">
        <v>409</v>
      </c>
      <c r="G71" s="18"/>
      <c r="H71" s="18" t="s">
        <v>2334</v>
      </c>
      <c r="I71" s="18" t="s">
        <v>410</v>
      </c>
      <c r="J71" s="18" t="s">
        <v>411</v>
      </c>
      <c r="K71" s="18" t="s">
        <v>492</v>
      </c>
      <c r="L71" s="18" t="s">
        <v>2137</v>
      </c>
      <c r="M71" s="18" t="s">
        <v>590</v>
      </c>
      <c r="N71" s="18" t="s">
        <v>591</v>
      </c>
      <c r="O71" s="18" t="s">
        <v>592</v>
      </c>
      <c r="P71" s="18" t="s">
        <v>593</v>
      </c>
      <c r="Q71" s="18" t="s">
        <v>594</v>
      </c>
      <c r="R71" s="18" t="s">
        <v>595</v>
      </c>
      <c r="S71" s="18" t="s">
        <v>2243</v>
      </c>
      <c r="T71" s="18" t="s">
        <v>2284</v>
      </c>
      <c r="U71" s="18" t="s">
        <v>2244</v>
      </c>
      <c r="V71" s="18"/>
      <c r="W71" s="18" t="s">
        <v>254</v>
      </c>
      <c r="X71" s="18" t="s">
        <v>537</v>
      </c>
      <c r="Y71" s="18">
        <v>10038</v>
      </c>
      <c r="Z71" s="19" t="s">
        <v>2245</v>
      </c>
      <c r="AA71">
        <v>9010000</v>
      </c>
      <c r="AB71" t="s">
        <v>2461</v>
      </c>
      <c r="AC71">
        <v>4000</v>
      </c>
    </row>
    <row r="72" spans="1:29" x14ac:dyDescent="0.3">
      <c r="A72" s="17" t="s">
        <v>677</v>
      </c>
      <c r="B72" s="18" t="s">
        <v>2417</v>
      </c>
      <c r="C72" s="18" t="s">
        <v>2418</v>
      </c>
      <c r="D72" s="18" t="s">
        <v>73</v>
      </c>
      <c r="E72" s="18" t="s">
        <v>162</v>
      </c>
      <c r="F72" s="18" t="s">
        <v>415</v>
      </c>
      <c r="G72" s="18"/>
      <c r="H72" s="18" t="s">
        <v>2332</v>
      </c>
      <c r="I72" s="18" t="s">
        <v>416</v>
      </c>
      <c r="J72" s="18" t="s">
        <v>166</v>
      </c>
      <c r="K72" s="18" t="s">
        <v>493</v>
      </c>
      <c r="L72" s="18" t="s">
        <v>2201</v>
      </c>
      <c r="M72" s="18" t="s">
        <v>590</v>
      </c>
      <c r="N72" s="18" t="s">
        <v>591</v>
      </c>
      <c r="O72" s="18" t="s">
        <v>592</v>
      </c>
      <c r="P72" s="18" t="s">
        <v>593</v>
      </c>
      <c r="Q72" s="18" t="s">
        <v>594</v>
      </c>
      <c r="R72" s="18" t="s">
        <v>595</v>
      </c>
      <c r="S72" s="18" t="s">
        <v>2243</v>
      </c>
      <c r="T72" s="18" t="s">
        <v>2284</v>
      </c>
      <c r="U72" s="18" t="s">
        <v>2244</v>
      </c>
      <c r="V72" s="18"/>
      <c r="W72" s="18" t="s">
        <v>254</v>
      </c>
      <c r="X72" s="18" t="s">
        <v>537</v>
      </c>
      <c r="Y72" s="18">
        <v>10038</v>
      </c>
      <c r="Z72" s="19" t="s">
        <v>2245</v>
      </c>
      <c r="AA72">
        <v>9010000</v>
      </c>
      <c r="AB72" t="s">
        <v>2461</v>
      </c>
      <c r="AC72">
        <v>4000</v>
      </c>
    </row>
    <row r="73" spans="1:29" x14ac:dyDescent="0.3">
      <c r="A73" s="17">
        <v>9063</v>
      </c>
      <c r="B73" s="18" t="s">
        <v>2419</v>
      </c>
      <c r="C73" s="18" t="s">
        <v>2420</v>
      </c>
      <c r="D73" s="18" t="s">
        <v>50</v>
      </c>
      <c r="E73" s="18" t="s">
        <v>162</v>
      </c>
      <c r="F73" s="18" t="s">
        <v>340</v>
      </c>
      <c r="G73" s="18"/>
      <c r="H73" s="18" t="s">
        <v>2334</v>
      </c>
      <c r="I73" s="18" t="s">
        <v>341</v>
      </c>
      <c r="J73" s="18" t="s">
        <v>234</v>
      </c>
      <c r="K73" s="18" t="s">
        <v>505</v>
      </c>
      <c r="L73" s="18" t="s">
        <v>2138</v>
      </c>
      <c r="M73" s="18" t="s">
        <v>546</v>
      </c>
      <c r="N73" s="18" t="s">
        <v>548</v>
      </c>
      <c r="O73" s="18" t="s">
        <v>525</v>
      </c>
      <c r="P73" s="18" t="s">
        <v>526</v>
      </c>
      <c r="Q73" s="18" t="s">
        <v>550</v>
      </c>
      <c r="R73" s="18" t="s">
        <v>547</v>
      </c>
      <c r="S73" s="18" t="s">
        <v>2219</v>
      </c>
      <c r="T73" s="18" t="s">
        <v>2300</v>
      </c>
      <c r="U73" s="18" t="s">
        <v>2220</v>
      </c>
      <c r="V73" s="18" t="s">
        <v>2229</v>
      </c>
      <c r="W73" s="18" t="s">
        <v>2221</v>
      </c>
      <c r="X73" s="18" t="s">
        <v>526</v>
      </c>
      <c r="Y73" s="18" t="s">
        <v>2222</v>
      </c>
      <c r="Z73" s="19" t="s">
        <v>2223</v>
      </c>
      <c r="AA73">
        <v>10380000</v>
      </c>
      <c r="AB73" t="s">
        <v>2462</v>
      </c>
      <c r="AC73">
        <v>6000</v>
      </c>
    </row>
    <row r="74" spans="1:29" x14ac:dyDescent="0.3">
      <c r="A74" s="14">
        <v>8755</v>
      </c>
      <c r="B74" s="15" t="s">
        <v>2419</v>
      </c>
      <c r="C74" s="15" t="s">
        <v>2420</v>
      </c>
      <c r="D74" s="15" t="s">
        <v>68</v>
      </c>
      <c r="E74" s="15" t="s">
        <v>162</v>
      </c>
      <c r="F74" s="15" t="s">
        <v>223</v>
      </c>
      <c r="G74" s="15"/>
      <c r="H74" s="15" t="s">
        <v>2331</v>
      </c>
      <c r="I74" s="15" t="s">
        <v>403</v>
      </c>
      <c r="J74" s="15" t="s">
        <v>2272</v>
      </c>
      <c r="K74" s="15" t="s">
        <v>489</v>
      </c>
      <c r="L74" s="15" t="s">
        <v>2132</v>
      </c>
      <c r="M74" s="15" t="s">
        <v>546</v>
      </c>
      <c r="N74" s="15" t="s">
        <v>548</v>
      </c>
      <c r="O74" s="15" t="s">
        <v>525</v>
      </c>
      <c r="P74" s="15" t="s">
        <v>526</v>
      </c>
      <c r="Q74" s="15" t="s">
        <v>550</v>
      </c>
      <c r="R74" s="15" t="s">
        <v>547</v>
      </c>
      <c r="S74" s="15" t="s">
        <v>2219</v>
      </c>
      <c r="T74" s="15" t="s">
        <v>2300</v>
      </c>
      <c r="U74" s="15" t="s">
        <v>2220</v>
      </c>
      <c r="V74" s="15" t="s">
        <v>2229</v>
      </c>
      <c r="W74" s="15" t="s">
        <v>2221</v>
      </c>
      <c r="X74" s="15" t="s">
        <v>526</v>
      </c>
      <c r="Y74" s="15" t="s">
        <v>2222</v>
      </c>
      <c r="Z74" s="16" t="s">
        <v>2223</v>
      </c>
      <c r="AA74">
        <v>10380000</v>
      </c>
      <c r="AB74" t="s">
        <v>2462</v>
      </c>
      <c r="AC74">
        <v>6000</v>
      </c>
    </row>
    <row r="75" spans="1:29" x14ac:dyDescent="0.3">
      <c r="A75" s="14">
        <v>10023</v>
      </c>
      <c r="B75" s="15" t="s">
        <v>2419</v>
      </c>
      <c r="C75" s="15" t="s">
        <v>2420</v>
      </c>
      <c r="D75" s="15" t="s">
        <v>17</v>
      </c>
      <c r="E75" s="15" t="s">
        <v>162</v>
      </c>
      <c r="F75" s="15" t="s">
        <v>170</v>
      </c>
      <c r="G75" s="15"/>
      <c r="H75" s="15" t="s">
        <v>2332</v>
      </c>
      <c r="I75" s="15" t="s">
        <v>172</v>
      </c>
      <c r="J75" s="15" t="s">
        <v>173</v>
      </c>
      <c r="K75" s="15" t="s">
        <v>465</v>
      </c>
      <c r="L75" s="15" t="s">
        <v>2202</v>
      </c>
      <c r="M75" s="15" t="s">
        <v>546</v>
      </c>
      <c r="N75" s="15" t="s">
        <v>548</v>
      </c>
      <c r="O75" s="15" t="s">
        <v>525</v>
      </c>
      <c r="P75" s="15" t="s">
        <v>526</v>
      </c>
      <c r="Q75" s="15" t="s">
        <v>550</v>
      </c>
      <c r="R75" s="15" t="s">
        <v>547</v>
      </c>
      <c r="S75" s="15" t="s">
        <v>2219</v>
      </c>
      <c r="T75" s="15" t="s">
        <v>2300</v>
      </c>
      <c r="U75" s="15" t="s">
        <v>2220</v>
      </c>
      <c r="V75" s="15" t="s">
        <v>2229</v>
      </c>
      <c r="W75" s="15" t="s">
        <v>2221</v>
      </c>
      <c r="X75" s="15" t="s">
        <v>526</v>
      </c>
      <c r="Y75" s="15" t="s">
        <v>2222</v>
      </c>
      <c r="Z75" s="16" t="s">
        <v>2223</v>
      </c>
      <c r="AA75">
        <v>10380000</v>
      </c>
      <c r="AB75" t="s">
        <v>2462</v>
      </c>
      <c r="AC75">
        <v>6000</v>
      </c>
    </row>
    <row r="76" spans="1:29" x14ac:dyDescent="0.3">
      <c r="A76" s="17">
        <v>49521</v>
      </c>
      <c r="B76" s="18" t="s">
        <v>2421</v>
      </c>
      <c r="C76" s="18" t="s">
        <v>2422</v>
      </c>
      <c r="D76" s="18" t="s">
        <v>49</v>
      </c>
      <c r="E76" s="18" t="s">
        <v>162</v>
      </c>
      <c r="F76" s="18" t="s">
        <v>49</v>
      </c>
      <c r="G76" s="18" t="s">
        <v>337</v>
      </c>
      <c r="H76" s="18" t="s">
        <v>2335</v>
      </c>
      <c r="I76" s="18" t="s">
        <v>338</v>
      </c>
      <c r="J76" s="18" t="s">
        <v>339</v>
      </c>
      <c r="K76" s="18" t="s">
        <v>478</v>
      </c>
      <c r="L76" s="18" t="s">
        <v>2159</v>
      </c>
      <c r="M76" s="18" t="s">
        <v>540</v>
      </c>
      <c r="N76" s="18" t="s">
        <v>541</v>
      </c>
      <c r="O76" s="18" t="s">
        <v>542</v>
      </c>
      <c r="P76" s="18" t="s">
        <v>543</v>
      </c>
      <c r="Q76" s="18" t="s">
        <v>544</v>
      </c>
      <c r="R76" s="18" t="s">
        <v>545</v>
      </c>
      <c r="S76" s="18" t="s">
        <v>2215</v>
      </c>
      <c r="T76" s="18" t="s">
        <v>2302</v>
      </c>
      <c r="U76" s="18" t="s">
        <v>2216</v>
      </c>
      <c r="V76" s="18"/>
      <c r="W76" s="18" t="s">
        <v>2217</v>
      </c>
      <c r="X76" s="18" t="s">
        <v>543</v>
      </c>
      <c r="Y76" s="18" t="s">
        <v>2218</v>
      </c>
      <c r="Z76" s="19" t="s">
        <v>2214</v>
      </c>
      <c r="AA76">
        <v>15390000</v>
      </c>
      <c r="AB76" t="s">
        <v>2463</v>
      </c>
      <c r="AC76">
        <v>7000</v>
      </c>
    </row>
    <row r="77" spans="1:29" x14ac:dyDescent="0.3">
      <c r="A77" s="17">
        <v>48556</v>
      </c>
      <c r="B77" s="18" t="s">
        <v>2421</v>
      </c>
      <c r="C77" s="18" t="s">
        <v>2422</v>
      </c>
      <c r="D77" s="18" t="s">
        <v>62</v>
      </c>
      <c r="E77" s="18" t="s">
        <v>162</v>
      </c>
      <c r="F77" s="18" t="s">
        <v>181</v>
      </c>
      <c r="G77" s="18" t="s">
        <v>2371</v>
      </c>
      <c r="H77" s="18" t="s">
        <v>2333</v>
      </c>
      <c r="I77" s="18" t="s">
        <v>382</v>
      </c>
      <c r="J77" s="18" t="s">
        <v>383</v>
      </c>
      <c r="K77" s="18" t="s">
        <v>486</v>
      </c>
      <c r="L77" s="18" t="s">
        <v>2148</v>
      </c>
      <c r="M77" s="18" t="s">
        <v>540</v>
      </c>
      <c r="N77" s="18" t="s">
        <v>541</v>
      </c>
      <c r="O77" s="18" t="s">
        <v>542</v>
      </c>
      <c r="P77" s="18" t="s">
        <v>543</v>
      </c>
      <c r="Q77" s="18" t="s">
        <v>544</v>
      </c>
      <c r="R77" s="18" t="s">
        <v>545</v>
      </c>
      <c r="S77" s="18" t="s">
        <v>2215</v>
      </c>
      <c r="T77" s="18" t="s">
        <v>2302</v>
      </c>
      <c r="U77" s="18" t="s">
        <v>2216</v>
      </c>
      <c r="V77" s="18"/>
      <c r="W77" s="18" t="s">
        <v>2217</v>
      </c>
      <c r="X77" s="18" t="s">
        <v>543</v>
      </c>
      <c r="Y77" s="18" t="s">
        <v>2218</v>
      </c>
      <c r="Z77" s="19" t="s">
        <v>2214</v>
      </c>
      <c r="AA77">
        <v>15390000</v>
      </c>
      <c r="AB77" t="s">
        <v>2463</v>
      </c>
      <c r="AC77">
        <v>7000</v>
      </c>
    </row>
    <row r="78" spans="1:29" x14ac:dyDescent="0.3">
      <c r="A78" s="14">
        <v>48565</v>
      </c>
      <c r="B78" s="15" t="s">
        <v>2421</v>
      </c>
      <c r="C78" s="15" t="s">
        <v>2422</v>
      </c>
      <c r="D78" s="15" t="s">
        <v>60</v>
      </c>
      <c r="E78" s="15" t="s">
        <v>162</v>
      </c>
      <c r="F78" s="15" t="s">
        <v>371</v>
      </c>
      <c r="G78" s="15"/>
      <c r="H78" s="15" t="s">
        <v>2332</v>
      </c>
      <c r="I78" s="15" t="s">
        <v>373</v>
      </c>
      <c r="J78" s="15" t="s">
        <v>374</v>
      </c>
      <c r="K78" s="15" t="s">
        <v>485</v>
      </c>
      <c r="L78" s="15" t="s">
        <v>2191</v>
      </c>
      <c r="M78" s="15" t="s">
        <v>540</v>
      </c>
      <c r="N78" s="15" t="s">
        <v>541</v>
      </c>
      <c r="O78" s="15" t="s">
        <v>542</v>
      </c>
      <c r="P78" s="15" t="s">
        <v>543</v>
      </c>
      <c r="Q78" s="15" t="s">
        <v>544</v>
      </c>
      <c r="R78" s="15" t="s">
        <v>545</v>
      </c>
      <c r="S78" s="15" t="s">
        <v>2215</v>
      </c>
      <c r="T78" s="15" t="s">
        <v>2302</v>
      </c>
      <c r="U78" s="15" t="s">
        <v>2216</v>
      </c>
      <c r="V78" s="15"/>
      <c r="W78" s="15" t="s">
        <v>2217</v>
      </c>
      <c r="X78" s="15" t="s">
        <v>543</v>
      </c>
      <c r="Y78" s="15" t="s">
        <v>2218</v>
      </c>
      <c r="Z78" s="16" t="s">
        <v>2214</v>
      </c>
      <c r="AA78">
        <v>15390000</v>
      </c>
      <c r="AB78" t="s">
        <v>2463</v>
      </c>
      <c r="AC78">
        <v>7000</v>
      </c>
    </row>
    <row r="79" spans="1:29" x14ac:dyDescent="0.3">
      <c r="A79" s="14" t="s">
        <v>675</v>
      </c>
      <c r="B79" s="15" t="s">
        <v>2423</v>
      </c>
      <c r="C79" s="15" t="s">
        <v>2424</v>
      </c>
      <c r="D79" s="15" t="s">
        <v>2</v>
      </c>
      <c r="E79" s="15" t="s">
        <v>167</v>
      </c>
      <c r="F79" s="15" t="s">
        <v>2</v>
      </c>
      <c r="G79" s="15" t="s">
        <v>178</v>
      </c>
      <c r="H79" s="15" t="s">
        <v>2361</v>
      </c>
      <c r="I79" s="15">
        <v>1782</v>
      </c>
      <c r="J79" s="15" t="s">
        <v>2268</v>
      </c>
      <c r="K79" s="15" t="s">
        <v>445</v>
      </c>
      <c r="L79" s="15" t="s">
        <v>2163</v>
      </c>
      <c r="M79" s="15" t="s">
        <v>601</v>
      </c>
      <c r="N79" s="15" t="s">
        <v>605</v>
      </c>
      <c r="O79" s="15" t="s">
        <v>604</v>
      </c>
      <c r="P79" s="15" t="s">
        <v>603</v>
      </c>
      <c r="Q79" s="15" t="s">
        <v>2264</v>
      </c>
      <c r="R79" s="15" t="s">
        <v>602</v>
      </c>
      <c r="S79" s="15" t="s">
        <v>2230</v>
      </c>
      <c r="T79" s="15" t="s">
        <v>2287</v>
      </c>
      <c r="U79" s="15" t="s">
        <v>2231</v>
      </c>
      <c r="V79" s="15"/>
      <c r="W79" s="15" t="s">
        <v>2263</v>
      </c>
      <c r="X79" s="15" t="s">
        <v>2232</v>
      </c>
      <c r="Y79" s="15" t="s">
        <v>2233</v>
      </c>
      <c r="Z79" s="16" t="s">
        <v>2234</v>
      </c>
      <c r="AA79">
        <v>13370000</v>
      </c>
      <c r="AB79" t="s">
        <v>2464</v>
      </c>
      <c r="AC79">
        <v>4000</v>
      </c>
    </row>
    <row r="80" spans="1:29" x14ac:dyDescent="0.3">
      <c r="A80" s="17" t="s">
        <v>671</v>
      </c>
      <c r="B80" s="18" t="s">
        <v>2423</v>
      </c>
      <c r="C80" s="18" t="s">
        <v>2424</v>
      </c>
      <c r="D80" s="18" t="s">
        <v>66</v>
      </c>
      <c r="E80" s="18" t="s">
        <v>162</v>
      </c>
      <c r="F80" s="18" t="s">
        <v>395</v>
      </c>
      <c r="G80" s="18"/>
      <c r="H80" s="18" t="s">
        <v>2363</v>
      </c>
      <c r="I80" s="18" t="s">
        <v>397</v>
      </c>
      <c r="J80" s="18" t="s">
        <v>398</v>
      </c>
      <c r="K80" s="18" t="s">
        <v>488</v>
      </c>
      <c r="L80" s="18" t="s">
        <v>2142</v>
      </c>
      <c r="M80" s="18" t="s">
        <v>601</v>
      </c>
      <c r="N80" s="18" t="s">
        <v>605</v>
      </c>
      <c r="O80" s="18" t="s">
        <v>604</v>
      </c>
      <c r="P80" s="18" t="s">
        <v>603</v>
      </c>
      <c r="Q80" s="18" t="s">
        <v>2264</v>
      </c>
      <c r="R80" s="18" t="s">
        <v>602</v>
      </c>
      <c r="S80" s="18" t="s">
        <v>2230</v>
      </c>
      <c r="T80" s="18" t="s">
        <v>2288</v>
      </c>
      <c r="U80" s="18" t="s">
        <v>2231</v>
      </c>
      <c r="V80" s="18"/>
      <c r="W80" s="18" t="s">
        <v>2263</v>
      </c>
      <c r="X80" s="18" t="s">
        <v>2232</v>
      </c>
      <c r="Y80" s="18" t="s">
        <v>2233</v>
      </c>
      <c r="Z80" s="19" t="s">
        <v>2234</v>
      </c>
      <c r="AA80">
        <v>8900000</v>
      </c>
      <c r="AB80" t="s">
        <v>2465</v>
      </c>
      <c r="AC80">
        <v>10000</v>
      </c>
    </row>
    <row r="81" spans="1:29" x14ac:dyDescent="0.3">
      <c r="A81" s="14" t="s">
        <v>673</v>
      </c>
      <c r="B81" s="15" t="s">
        <v>2423</v>
      </c>
      <c r="C81" s="15" t="s">
        <v>2424</v>
      </c>
      <c r="D81" s="15" t="s">
        <v>24</v>
      </c>
      <c r="E81" s="15" t="s">
        <v>167</v>
      </c>
      <c r="F81" s="15" t="s">
        <v>242</v>
      </c>
      <c r="G81" s="15" t="s">
        <v>243</v>
      </c>
      <c r="H81" s="15" t="s">
        <v>2367</v>
      </c>
      <c r="I81" s="15" t="s">
        <v>245</v>
      </c>
      <c r="J81" s="15" t="s">
        <v>2273</v>
      </c>
      <c r="K81" s="15" t="s">
        <v>450</v>
      </c>
      <c r="L81" s="15" t="s">
        <v>2129</v>
      </c>
      <c r="M81" s="15" t="s">
        <v>601</v>
      </c>
      <c r="N81" s="15" t="s">
        <v>605</v>
      </c>
      <c r="O81" s="15" t="s">
        <v>604</v>
      </c>
      <c r="P81" s="15" t="s">
        <v>603</v>
      </c>
      <c r="Q81" s="15" t="s">
        <v>2264</v>
      </c>
      <c r="R81" s="15" t="s">
        <v>602</v>
      </c>
      <c r="S81" s="15" t="s">
        <v>2230</v>
      </c>
      <c r="T81" s="15" t="s">
        <v>2287</v>
      </c>
      <c r="U81" s="15" t="s">
        <v>2231</v>
      </c>
      <c r="V81" s="15"/>
      <c r="W81" s="15" t="s">
        <v>2263</v>
      </c>
      <c r="X81" s="15" t="s">
        <v>2232</v>
      </c>
      <c r="Y81" s="15" t="s">
        <v>2233</v>
      </c>
      <c r="Z81" s="16" t="s">
        <v>2234</v>
      </c>
      <c r="AA81">
        <v>13370000</v>
      </c>
      <c r="AB81" t="s">
        <v>2464</v>
      </c>
      <c r="AC81">
        <v>4000</v>
      </c>
    </row>
    <row r="82" spans="1:29" x14ac:dyDescent="0.3">
      <c r="A82" s="14" t="s">
        <v>674</v>
      </c>
      <c r="B82" s="15" t="s">
        <v>2423</v>
      </c>
      <c r="C82" s="15" t="s">
        <v>2424</v>
      </c>
      <c r="D82" s="15" t="s">
        <v>53</v>
      </c>
      <c r="E82" s="15" t="s">
        <v>167</v>
      </c>
      <c r="F82" s="15" t="s">
        <v>347</v>
      </c>
      <c r="G82" s="15" t="s">
        <v>2370</v>
      </c>
      <c r="H82" s="15" t="s">
        <v>2346</v>
      </c>
      <c r="I82" s="15">
        <v>1943</v>
      </c>
      <c r="J82" s="15" t="s">
        <v>2267</v>
      </c>
      <c r="K82" s="15" t="s">
        <v>455</v>
      </c>
      <c r="L82" s="15" t="s">
        <v>2206</v>
      </c>
      <c r="M82" s="15" t="s">
        <v>601</v>
      </c>
      <c r="N82" s="15" t="s">
        <v>605</v>
      </c>
      <c r="O82" s="15" t="s">
        <v>604</v>
      </c>
      <c r="P82" s="15" t="s">
        <v>603</v>
      </c>
      <c r="Q82" s="15" t="s">
        <v>2264</v>
      </c>
      <c r="R82" s="15" t="s">
        <v>602</v>
      </c>
      <c r="S82" s="15" t="s">
        <v>2230</v>
      </c>
      <c r="T82" s="15" t="s">
        <v>2287</v>
      </c>
      <c r="U82" s="15" t="s">
        <v>2231</v>
      </c>
      <c r="V82" s="15"/>
      <c r="W82" s="15" t="s">
        <v>2263</v>
      </c>
      <c r="X82" s="15" t="s">
        <v>2232</v>
      </c>
      <c r="Y82" s="15" t="s">
        <v>2233</v>
      </c>
      <c r="Z82" s="16" t="s">
        <v>2234</v>
      </c>
      <c r="AA82">
        <v>13370000</v>
      </c>
      <c r="AB82" t="s">
        <v>2464</v>
      </c>
      <c r="AC82">
        <v>4000</v>
      </c>
    </row>
    <row r="83" spans="1:29" x14ac:dyDescent="0.3">
      <c r="A83" s="2" t="s">
        <v>672</v>
      </c>
      <c r="B83" s="3" t="s">
        <v>2423</v>
      </c>
      <c r="C83" s="3" t="s">
        <v>2424</v>
      </c>
      <c r="D83" s="3" t="s">
        <v>27</v>
      </c>
      <c r="E83" s="3" t="s">
        <v>162</v>
      </c>
      <c r="F83" s="3" t="s">
        <v>252</v>
      </c>
      <c r="G83" s="3" t="s">
        <v>253</v>
      </c>
      <c r="H83" s="18" t="s">
        <v>2345</v>
      </c>
      <c r="I83" s="3" t="s">
        <v>255</v>
      </c>
      <c r="J83" s="3" t="s">
        <v>176</v>
      </c>
      <c r="K83" s="3" t="s">
        <v>471</v>
      </c>
      <c r="L83" s="3" t="s">
        <v>2166</v>
      </c>
      <c r="M83" s="3" t="s">
        <v>601</v>
      </c>
      <c r="N83" s="3" t="s">
        <v>605</v>
      </c>
      <c r="O83" s="3" t="s">
        <v>604</v>
      </c>
      <c r="P83" s="3" t="s">
        <v>603</v>
      </c>
      <c r="Q83" s="3" t="s">
        <v>2264</v>
      </c>
      <c r="R83" s="3" t="s">
        <v>602</v>
      </c>
      <c r="S83" s="3" t="s">
        <v>2230</v>
      </c>
      <c r="T83" s="3" t="s">
        <v>2288</v>
      </c>
      <c r="U83" s="3" t="s">
        <v>2231</v>
      </c>
      <c r="V83" s="3"/>
      <c r="W83" s="3" t="s">
        <v>2263</v>
      </c>
      <c r="X83" s="3" t="s">
        <v>2232</v>
      </c>
      <c r="Y83" s="3" t="s">
        <v>2233</v>
      </c>
      <c r="Z83" s="23" t="s">
        <v>2234</v>
      </c>
      <c r="AA83">
        <v>8900000</v>
      </c>
      <c r="AB83" t="s">
        <v>2465</v>
      </c>
      <c r="AC83">
        <v>10000</v>
      </c>
    </row>
  </sheetData>
  <hyperlinks>
    <hyperlink ref="L65" r:id="rId1" xr:uid="{B4669BDA-BDCC-4741-AC4A-BB6C194EE1EF}"/>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1D724-740E-4514-B813-EC84F3230AA2}">
  <sheetPr codeName="Sheet5"/>
  <dimension ref="A1:K18"/>
  <sheetViews>
    <sheetView workbookViewId="0">
      <selection activeCell="B4" sqref="B4:F4"/>
    </sheetView>
  </sheetViews>
  <sheetFormatPr defaultRowHeight="14.4" x14ac:dyDescent="0.3"/>
  <cols>
    <col min="1" max="1" width="53" bestFit="1" customWidth="1"/>
    <col min="2" max="2" width="13.33203125" bestFit="1" customWidth="1"/>
    <col min="3" max="3" width="12.109375" bestFit="1" customWidth="1"/>
    <col min="4" max="4" width="7.6640625" customWidth="1"/>
    <col min="5" max="5" width="6" style="5" bestFit="1" customWidth="1"/>
    <col min="6" max="6" width="12.44140625" bestFit="1" customWidth="1"/>
    <col min="7" max="7" width="32.33203125" bestFit="1" customWidth="1"/>
  </cols>
  <sheetData>
    <row r="1" spans="1:11" x14ac:dyDescent="0.3">
      <c r="A1" t="s">
        <v>439</v>
      </c>
      <c r="B1" t="s">
        <v>519</v>
      </c>
      <c r="C1" t="s">
        <v>2282</v>
      </c>
      <c r="D1" t="s">
        <v>521</v>
      </c>
      <c r="E1" s="5" t="s">
        <v>522</v>
      </c>
      <c r="F1" t="s">
        <v>523</v>
      </c>
      <c r="G1" t="s">
        <v>2209</v>
      </c>
      <c r="K1" s="1" t="s">
        <v>590</v>
      </c>
    </row>
    <row r="2" spans="1:11" x14ac:dyDescent="0.3">
      <c r="A2" t="s">
        <v>580</v>
      </c>
      <c r="B2" t="s">
        <v>581</v>
      </c>
      <c r="C2" s="6" t="s">
        <v>582</v>
      </c>
      <c r="D2" t="s">
        <v>566</v>
      </c>
      <c r="E2" s="5" t="s">
        <v>583</v>
      </c>
      <c r="F2" t="s">
        <v>584</v>
      </c>
      <c r="G2" t="s">
        <v>2252</v>
      </c>
      <c r="K2" s="3" t="s">
        <v>590</v>
      </c>
    </row>
    <row r="3" spans="1:11" x14ac:dyDescent="0.3">
      <c r="A3" t="s">
        <v>554</v>
      </c>
      <c r="B3" t="s">
        <v>553</v>
      </c>
      <c r="C3" t="s">
        <v>555</v>
      </c>
      <c r="D3" t="s">
        <v>556</v>
      </c>
      <c r="E3" s="5" t="s">
        <v>557</v>
      </c>
      <c r="F3" t="s">
        <v>558</v>
      </c>
      <c r="G3" t="s">
        <v>2224</v>
      </c>
      <c r="K3" s="1" t="s">
        <v>177</v>
      </c>
    </row>
    <row r="4" spans="1:11" x14ac:dyDescent="0.3">
      <c r="A4" t="s">
        <v>585</v>
      </c>
      <c r="B4" t="s">
        <v>586</v>
      </c>
      <c r="C4" t="s">
        <v>587</v>
      </c>
      <c r="D4" t="s">
        <v>571</v>
      </c>
      <c r="E4" s="5" t="s">
        <v>588</v>
      </c>
      <c r="F4" t="s">
        <v>589</v>
      </c>
      <c r="G4" t="s">
        <v>2213</v>
      </c>
      <c r="K4" s="1" t="s">
        <v>601</v>
      </c>
    </row>
    <row r="5" spans="1:11" x14ac:dyDescent="0.3">
      <c r="A5" t="s">
        <v>535</v>
      </c>
      <c r="B5" t="s">
        <v>538</v>
      </c>
      <c r="C5" t="s">
        <v>536</v>
      </c>
      <c r="D5" t="s">
        <v>537</v>
      </c>
      <c r="E5" s="5">
        <v>12458</v>
      </c>
      <c r="F5" t="s">
        <v>539</v>
      </c>
      <c r="G5" t="s">
        <v>2239</v>
      </c>
      <c r="K5" s="3" t="s">
        <v>574</v>
      </c>
    </row>
    <row r="6" spans="1:11" x14ac:dyDescent="0.3">
      <c r="A6" t="s">
        <v>600</v>
      </c>
      <c r="B6" t="s">
        <v>596</v>
      </c>
      <c r="C6" s="6" t="s">
        <v>597</v>
      </c>
      <c r="D6" t="s">
        <v>566</v>
      </c>
      <c r="E6" s="5" t="s">
        <v>598</v>
      </c>
      <c r="F6" t="s">
        <v>599</v>
      </c>
      <c r="G6" t="s">
        <v>2252</v>
      </c>
      <c r="K6" s="1" t="s">
        <v>517</v>
      </c>
    </row>
    <row r="7" spans="1:11" x14ac:dyDescent="0.3">
      <c r="A7" t="s">
        <v>560</v>
      </c>
      <c r="B7" t="s">
        <v>559</v>
      </c>
      <c r="C7" t="s">
        <v>525</v>
      </c>
      <c r="D7" t="s">
        <v>526</v>
      </c>
      <c r="E7" s="5" t="s">
        <v>552</v>
      </c>
      <c r="F7" t="s">
        <v>561</v>
      </c>
      <c r="G7" t="s">
        <v>2219</v>
      </c>
      <c r="K7" s="1" t="s">
        <v>554</v>
      </c>
    </row>
    <row r="8" spans="1:11" x14ac:dyDescent="0.3">
      <c r="A8" t="s">
        <v>531</v>
      </c>
      <c r="B8" t="s">
        <v>533</v>
      </c>
      <c r="C8" t="s">
        <v>534</v>
      </c>
      <c r="D8" t="s">
        <v>526</v>
      </c>
      <c r="E8" s="5">
        <v>18902</v>
      </c>
      <c r="F8" s="4" t="s">
        <v>532</v>
      </c>
      <c r="G8" t="s">
        <v>2219</v>
      </c>
      <c r="K8" s="3" t="s">
        <v>580</v>
      </c>
    </row>
    <row r="9" spans="1:11" x14ac:dyDescent="0.3">
      <c r="A9" t="s">
        <v>568</v>
      </c>
      <c r="B9" t="s">
        <v>569</v>
      </c>
      <c r="C9" t="s">
        <v>570</v>
      </c>
      <c r="D9" t="s">
        <v>571</v>
      </c>
      <c r="E9" s="5" t="s">
        <v>572</v>
      </c>
      <c r="F9" t="s">
        <v>573</v>
      </c>
      <c r="G9" t="s">
        <v>2249</v>
      </c>
      <c r="K9" s="3" t="s">
        <v>528</v>
      </c>
    </row>
    <row r="10" spans="1:11" x14ac:dyDescent="0.3">
      <c r="A10" t="s">
        <v>517</v>
      </c>
      <c r="B10" t="s">
        <v>524</v>
      </c>
      <c r="C10" t="s">
        <v>525</v>
      </c>
      <c r="D10" t="s">
        <v>526</v>
      </c>
      <c r="E10" s="5">
        <v>19103</v>
      </c>
      <c r="F10" t="s">
        <v>527</v>
      </c>
      <c r="G10" t="s">
        <v>2235</v>
      </c>
      <c r="K10" s="1" t="s">
        <v>560</v>
      </c>
    </row>
    <row r="11" spans="1:11" x14ac:dyDescent="0.3">
      <c r="A11" t="s">
        <v>562</v>
      </c>
      <c r="B11" t="s">
        <v>563</v>
      </c>
      <c r="C11" t="s">
        <v>564</v>
      </c>
      <c r="D11" t="s">
        <v>566</v>
      </c>
      <c r="E11" s="5" t="s">
        <v>565</v>
      </c>
      <c r="F11" t="s">
        <v>567</v>
      </c>
      <c r="G11" t="s">
        <v>2215</v>
      </c>
      <c r="K11" s="3" t="s">
        <v>531</v>
      </c>
    </row>
    <row r="12" spans="1:11" x14ac:dyDescent="0.3">
      <c r="A12" t="s">
        <v>528</v>
      </c>
      <c r="B12" t="s">
        <v>529</v>
      </c>
      <c r="C12" t="s">
        <v>525</v>
      </c>
      <c r="D12" t="s">
        <v>526</v>
      </c>
      <c r="E12" s="5">
        <v>19103</v>
      </c>
      <c r="F12" t="s">
        <v>530</v>
      </c>
      <c r="G12" t="s">
        <v>2252</v>
      </c>
      <c r="K12" s="1" t="s">
        <v>546</v>
      </c>
    </row>
    <row r="13" spans="1:11" x14ac:dyDescent="0.3">
      <c r="A13" t="s">
        <v>177</v>
      </c>
      <c r="B13" t="s">
        <v>2283</v>
      </c>
      <c r="C13" t="s">
        <v>525</v>
      </c>
      <c r="D13" t="s">
        <v>526</v>
      </c>
      <c r="E13" s="5" t="s">
        <v>552</v>
      </c>
      <c r="F13" t="s">
        <v>551</v>
      </c>
      <c r="G13" t="s">
        <v>2230</v>
      </c>
      <c r="K13" s="3" t="s">
        <v>562</v>
      </c>
    </row>
    <row r="14" spans="1:11" x14ac:dyDescent="0.3">
      <c r="A14" t="s">
        <v>574</v>
      </c>
      <c r="B14" t="s">
        <v>575</v>
      </c>
      <c r="C14" t="s">
        <v>576</v>
      </c>
      <c r="D14" t="s">
        <v>577</v>
      </c>
      <c r="E14" s="5" t="s">
        <v>578</v>
      </c>
      <c r="F14" t="s">
        <v>579</v>
      </c>
      <c r="G14" t="s">
        <v>2256</v>
      </c>
      <c r="K14" s="1" t="s">
        <v>540</v>
      </c>
    </row>
    <row r="15" spans="1:11" x14ac:dyDescent="0.3">
      <c r="A15" t="s">
        <v>590</v>
      </c>
      <c r="B15" t="s">
        <v>591</v>
      </c>
      <c r="C15" t="s">
        <v>592</v>
      </c>
      <c r="D15" t="s">
        <v>593</v>
      </c>
      <c r="E15" s="5" t="s">
        <v>594</v>
      </c>
      <c r="F15" t="s">
        <v>595</v>
      </c>
      <c r="G15" t="s">
        <v>2243</v>
      </c>
      <c r="K15" s="3" t="s">
        <v>535</v>
      </c>
    </row>
    <row r="16" spans="1:11" x14ac:dyDescent="0.3">
      <c r="A16" t="s">
        <v>546</v>
      </c>
      <c r="B16" t="s">
        <v>548</v>
      </c>
      <c r="C16" t="s">
        <v>525</v>
      </c>
      <c r="D16" t="s">
        <v>526</v>
      </c>
      <c r="E16" s="5" t="s">
        <v>550</v>
      </c>
      <c r="F16" t="s">
        <v>547</v>
      </c>
      <c r="G16" t="s">
        <v>2219</v>
      </c>
      <c r="K16" s="1" t="s">
        <v>568</v>
      </c>
    </row>
    <row r="17" spans="1:7" x14ac:dyDescent="0.3">
      <c r="A17" t="s">
        <v>540</v>
      </c>
      <c r="B17" t="s">
        <v>541</v>
      </c>
      <c r="C17" t="s">
        <v>542</v>
      </c>
      <c r="D17" t="s">
        <v>543</v>
      </c>
      <c r="E17" s="5" t="s">
        <v>544</v>
      </c>
      <c r="F17" t="s">
        <v>545</v>
      </c>
      <c r="G17" t="s">
        <v>2215</v>
      </c>
    </row>
    <row r="18" spans="1:7" x14ac:dyDescent="0.3">
      <c r="A18" t="s">
        <v>601</v>
      </c>
      <c r="B18" t="s">
        <v>605</v>
      </c>
      <c r="C18" t="s">
        <v>604</v>
      </c>
      <c r="D18" t="s">
        <v>603</v>
      </c>
      <c r="E18" s="5" t="s">
        <v>2264</v>
      </c>
      <c r="F18" t="s">
        <v>602</v>
      </c>
      <c r="G18" t="s">
        <v>2230</v>
      </c>
    </row>
  </sheetData>
  <hyperlinks>
    <hyperlink ref="F8" r:id="rId1" display="tel:2153481047" xr:uid="{72E83382-962D-425D-861E-F5E6BF6FD707}"/>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7CC6C-8EED-41C0-8677-D4D325F03BA0}">
  <sheetPr codeName="items"/>
  <dimension ref="A1:X40"/>
  <sheetViews>
    <sheetView topLeftCell="A14" zoomScale="145" zoomScaleNormal="145" workbookViewId="0">
      <selection activeCell="G17" sqref="G17"/>
    </sheetView>
  </sheetViews>
  <sheetFormatPr defaultRowHeight="14.4" x14ac:dyDescent="0.3"/>
  <cols>
    <col min="1" max="1" width="32.33203125" bestFit="1" customWidth="1"/>
    <col min="2" max="2" width="23.5546875" bestFit="1" customWidth="1"/>
    <col min="3" max="3" width="14.6640625" bestFit="1" customWidth="1"/>
    <col min="4" max="4" width="16.33203125" style="25" bestFit="1" customWidth="1"/>
    <col min="5" max="5" width="11.6640625" bestFit="1" customWidth="1"/>
    <col min="6" max="6" width="6.109375" bestFit="1" customWidth="1"/>
    <col min="7" max="7" width="12.88671875" bestFit="1" customWidth="1"/>
  </cols>
  <sheetData>
    <row r="1" spans="1:24" x14ac:dyDescent="0.3">
      <c r="A1" t="s">
        <v>2209</v>
      </c>
      <c r="B1" t="s">
        <v>519</v>
      </c>
      <c r="C1" t="s">
        <v>549</v>
      </c>
      <c r="D1" s="25" t="s">
        <v>520</v>
      </c>
      <c r="E1" t="s">
        <v>521</v>
      </c>
      <c r="F1" t="s">
        <v>2265</v>
      </c>
      <c r="G1" t="s">
        <v>523</v>
      </c>
    </row>
    <row r="2" spans="1:24" x14ac:dyDescent="0.3">
      <c r="A2" t="s">
        <v>2243</v>
      </c>
      <c r="B2" t="s">
        <v>2244</v>
      </c>
      <c r="D2" s="25" t="s">
        <v>254</v>
      </c>
      <c r="E2" t="s">
        <v>537</v>
      </c>
      <c r="F2">
        <v>10038</v>
      </c>
      <c r="G2" t="s">
        <v>2245</v>
      </c>
      <c r="I2" t="str">
        <f ca="1">"ART " &amp; RANDBETWEEN(100000000, 999999999)</f>
        <v>ART 990087598</v>
      </c>
    </row>
    <row r="3" spans="1:24" x14ac:dyDescent="0.3">
      <c r="A3" t="s">
        <v>2230</v>
      </c>
      <c r="B3" t="s">
        <v>2231</v>
      </c>
      <c r="D3" s="25" t="s">
        <v>2263</v>
      </c>
      <c r="E3" t="s">
        <v>2232</v>
      </c>
      <c r="F3" t="s">
        <v>2233</v>
      </c>
      <c r="G3" t="s">
        <v>2234</v>
      </c>
      <c r="I3" t="str">
        <f ca="1">RANDBETWEEN(10,99) &amp; " EMC " &amp; RANDBETWEEN(100000,999999)</f>
        <v>48 EMC 521076</v>
      </c>
    </row>
    <row r="4" spans="1:24" x14ac:dyDescent="0.3">
      <c r="A4" t="s">
        <v>2256</v>
      </c>
      <c r="B4" t="s">
        <v>2257</v>
      </c>
      <c r="D4" s="25" t="s">
        <v>2258</v>
      </c>
      <c r="E4" t="s">
        <v>2246</v>
      </c>
      <c r="F4" t="s">
        <v>2259</v>
      </c>
      <c r="G4" t="s">
        <v>2260</v>
      </c>
      <c r="I4" t="str">
        <f ca="1">RANDBETWEEN(10,99) &amp; "-" &amp; CHAR(RANDBETWEEN(65,90))&amp;CHAR(RANDBETWEEN(65,90))&amp;CHAR(RANDBETWEEN(65,90))&amp;"-"&amp;RANDBETWEEN(1000,9999)</f>
        <v>64-QVC-9752</v>
      </c>
    </row>
    <row r="5" spans="1:24" x14ac:dyDescent="0.3">
      <c r="A5" t="s">
        <v>2235</v>
      </c>
      <c r="B5" t="s">
        <v>2236</v>
      </c>
      <c r="D5" s="25" t="s">
        <v>2237</v>
      </c>
      <c r="E5" t="s">
        <v>526</v>
      </c>
      <c r="F5">
        <v>19044</v>
      </c>
      <c r="G5" t="s">
        <v>2238</v>
      </c>
      <c r="I5" t="str">
        <f ca="1">RANDBETWEEN(1000,9999)  &amp; CHAR(RANDBETWEEN(65,90))&amp; " "&amp;RANDBETWEEN(100000,999999)</f>
        <v>4228A 481766</v>
      </c>
    </row>
    <row r="6" spans="1:24" x14ac:dyDescent="0.3">
      <c r="A6" t="s">
        <v>2224</v>
      </c>
      <c r="B6" t="s">
        <v>2226</v>
      </c>
      <c r="C6" t="s">
        <v>2227</v>
      </c>
      <c r="D6" s="25" t="s">
        <v>555</v>
      </c>
      <c r="E6" t="s">
        <v>556</v>
      </c>
      <c r="F6" t="s">
        <v>2228</v>
      </c>
      <c r="G6" t="s">
        <v>2225</v>
      </c>
      <c r="I6" t="str">
        <f ca="1">2 &amp;RANDBETWEEN(1000000000,9999999999)</f>
        <v>25128354061</v>
      </c>
    </row>
    <row r="7" spans="1:24" x14ac:dyDescent="0.3">
      <c r="A7" t="s">
        <v>2252</v>
      </c>
      <c r="B7" t="s">
        <v>2253</v>
      </c>
      <c r="D7" s="25" t="s">
        <v>564</v>
      </c>
      <c r="E7" t="s">
        <v>566</v>
      </c>
      <c r="F7" t="s">
        <v>2254</v>
      </c>
      <c r="G7" t="s">
        <v>2255</v>
      </c>
      <c r="I7" t="str">
        <f ca="1">RANDBETWEEN(1,9)&amp;" "&amp;RANDBETWEEN(1000000,9999999)&amp;" "&amp;RANDBETWEEN(10,99)</f>
        <v>5 9725175 42</v>
      </c>
    </row>
    <row r="8" spans="1:24" x14ac:dyDescent="0.3">
      <c r="A8" t="s">
        <v>2213</v>
      </c>
      <c r="B8" t="s">
        <v>2210</v>
      </c>
      <c r="D8" s="25" t="s">
        <v>2211</v>
      </c>
      <c r="E8" t="s">
        <v>571</v>
      </c>
      <c r="F8">
        <v>23068</v>
      </c>
      <c r="G8" t="s">
        <v>2212</v>
      </c>
      <c r="I8" t="str">
        <f ca="1">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f>
        <v>1C4OF44B6</v>
      </c>
    </row>
    <row r="9" spans="1:24" x14ac:dyDescent="0.3">
      <c r="A9" t="s">
        <v>2219</v>
      </c>
      <c r="B9" t="s">
        <v>2220</v>
      </c>
      <c r="C9" t="s">
        <v>2229</v>
      </c>
      <c r="D9" s="25" t="s">
        <v>2221</v>
      </c>
      <c r="E9" t="s">
        <v>526</v>
      </c>
      <c r="F9" t="s">
        <v>2222</v>
      </c>
      <c r="G9" t="s">
        <v>2223</v>
      </c>
      <c r="I9" t="str">
        <f ca="1">"PIC"&amp;RANDBETWEEN(1000000000,9999999999)</f>
        <v>PIC5319890307</v>
      </c>
    </row>
    <row r="10" spans="1:24" x14ac:dyDescent="0.3">
      <c r="A10" t="s">
        <v>2215</v>
      </c>
      <c r="B10" t="s">
        <v>2216</v>
      </c>
      <c r="D10" s="25" t="s">
        <v>2217</v>
      </c>
      <c r="E10" t="s">
        <v>543</v>
      </c>
      <c r="F10" t="s">
        <v>2218</v>
      </c>
      <c r="G10" t="s">
        <v>2214</v>
      </c>
      <c r="I10" t="str">
        <f ca="1">CHAR(RANDBETWEEN(65,90))&amp;RANDBETWEEN(100000000,999999999)</f>
        <v>K974570506</v>
      </c>
    </row>
    <row r="11" spans="1:24" x14ac:dyDescent="0.3">
      <c r="A11" t="s">
        <v>2239</v>
      </c>
      <c r="B11" t="s">
        <v>2240</v>
      </c>
      <c r="C11" t="s">
        <v>2241</v>
      </c>
      <c r="D11" s="25" t="s">
        <v>254</v>
      </c>
      <c r="E11" t="s">
        <v>537</v>
      </c>
      <c r="F11">
        <v>10006</v>
      </c>
      <c r="G11" t="s">
        <v>2242</v>
      </c>
      <c r="I11" t="str">
        <f ca="1">CHAR(RANDBETWEEN(65,90))&amp;CHAR(RANDBETWEEN(65,90))&amp;CHAR(RANDBETWEEN(65,90))&amp;"-"&amp;RANDBETWEEN(100,999) &amp;"-"&amp;RANDBETWEEN(100000,999999) &amp;"-"&amp;RANDBETWEEN(10,99)</f>
        <v>COQ-328-592117-70</v>
      </c>
    </row>
    <row r="12" spans="1:24" x14ac:dyDescent="0.3">
      <c r="A12" t="s">
        <v>2249</v>
      </c>
      <c r="B12" t="s">
        <v>2248</v>
      </c>
      <c r="D12" s="25" t="s">
        <v>2247</v>
      </c>
      <c r="E12" t="s">
        <v>543</v>
      </c>
      <c r="F12" t="s">
        <v>2251</v>
      </c>
      <c r="G12" t="s">
        <v>2250</v>
      </c>
      <c r="I12" t="str">
        <f ca="1">RANDBETWEEN(100000000,999999999) &amp;" " &amp;RANDBETWEEN(100,999) &amp;" "&amp;RANDBETWEEN(1,9)</f>
        <v>970379268 722 5</v>
      </c>
    </row>
    <row r="15" spans="1:24" x14ac:dyDescent="0.3">
      <c r="H15">
        <v>0.5</v>
      </c>
      <c r="I15">
        <v>0.5</v>
      </c>
      <c r="J15">
        <v>0.60000000000000009</v>
      </c>
      <c r="K15">
        <v>0.60000000000000009</v>
      </c>
      <c r="L15">
        <v>1</v>
      </c>
      <c r="M15">
        <v>0.9</v>
      </c>
      <c r="N15">
        <v>0.70000000000000007</v>
      </c>
      <c r="O15">
        <v>0.5</v>
      </c>
      <c r="P15">
        <v>0.4</v>
      </c>
      <c r="Q15">
        <v>0.70000000000000007</v>
      </c>
      <c r="R15">
        <v>0.4</v>
      </c>
      <c r="S15">
        <v>0.9</v>
      </c>
      <c r="T15">
        <v>0.5</v>
      </c>
      <c r="U15">
        <v>0.5</v>
      </c>
      <c r="V15">
        <v>0.4</v>
      </c>
    </row>
    <row r="16" spans="1:24" x14ac:dyDescent="0.3">
      <c r="A16" s="18"/>
      <c r="G16" t="s">
        <v>2467</v>
      </c>
      <c r="H16" t="s">
        <v>2426</v>
      </c>
      <c r="I16" t="s">
        <v>2427</v>
      </c>
      <c r="J16" t="s">
        <v>2428</v>
      </c>
      <c r="K16" t="s">
        <v>2429</v>
      </c>
      <c r="L16" t="s">
        <v>2430</v>
      </c>
      <c r="M16" t="s">
        <v>2431</v>
      </c>
      <c r="N16" t="s">
        <v>2432</v>
      </c>
      <c r="O16" t="s">
        <v>2433</v>
      </c>
      <c r="P16" t="s">
        <v>2434</v>
      </c>
      <c r="Q16" t="s">
        <v>2435</v>
      </c>
      <c r="R16" t="s">
        <v>2436</v>
      </c>
      <c r="S16" t="s">
        <v>2437</v>
      </c>
      <c r="T16" t="s">
        <v>2438</v>
      </c>
      <c r="U16" t="s">
        <v>2439</v>
      </c>
      <c r="V16" t="s">
        <v>2440</v>
      </c>
      <c r="W16" t="str">
        <f>_xlfn.CONCAT(H16:V16)</f>
        <v xml:space="preserve">Aircraft, Earthquake, Explosion, Falling objects, Fire, Flood, Hail, lightning, Riot, Smoke, Terrorism, Theft, Transit Accident, Vandalism, Windstorm, </v>
      </c>
      <c r="X16" t="str">
        <f>LEFT(W16,LEN(W16)-2)</f>
        <v>Aircraft, Earthquake, Explosion, Falling objects, Fire, Flood, Hail, lightning, Riot, Smoke, Terrorism, Theft, Transit Accident, Vandalism, Windstorm</v>
      </c>
    </row>
    <row r="17" spans="1:24" x14ac:dyDescent="0.3">
      <c r="A17" s="15" t="s">
        <v>2295</v>
      </c>
      <c r="B17">
        <v>9370000</v>
      </c>
      <c r="C17">
        <f ca="1">RANDBETWEEN(1,10)</f>
        <v>1</v>
      </c>
      <c r="D17">
        <f ca="1">RANDBETWEEN(100,999)</f>
        <v>263</v>
      </c>
      <c r="E17" s="25">
        <f ca="1">C17*1000000+D17*10000</f>
        <v>3630000</v>
      </c>
      <c r="F17">
        <f ca="1">RANDBETWEEN(0,10)</f>
        <v>8</v>
      </c>
      <c r="G17">
        <v>7000</v>
      </c>
      <c r="H17" t="str">
        <f ca="1">IF(RAND()&lt;=H$15,H$16,"")</f>
        <v xml:space="preserve">Aircraft, </v>
      </c>
      <c r="I17" t="str">
        <f t="shared" ref="I17:V32" ca="1" si="0">IF(RAND()&lt;=I$15,I$16,"")</f>
        <v/>
      </c>
      <c r="J17" t="str">
        <f t="shared" ca="1" si="0"/>
        <v/>
      </c>
      <c r="K17" t="str">
        <f t="shared" ca="1" si="0"/>
        <v/>
      </c>
      <c r="L17" t="str">
        <f t="shared" ca="1" si="0"/>
        <v xml:space="preserve">Fire, </v>
      </c>
      <c r="M17" t="str">
        <f t="shared" ca="1" si="0"/>
        <v xml:space="preserve">Flood, </v>
      </c>
      <c r="N17" t="str">
        <f t="shared" ca="1" si="0"/>
        <v xml:space="preserve">Hail, </v>
      </c>
      <c r="O17" t="str">
        <f t="shared" ca="1" si="0"/>
        <v xml:space="preserve">lightning, </v>
      </c>
      <c r="P17" t="str">
        <f t="shared" ca="1" si="0"/>
        <v/>
      </c>
      <c r="Q17" t="str">
        <f t="shared" ca="1" si="0"/>
        <v/>
      </c>
      <c r="R17" t="str">
        <f t="shared" ca="1" si="0"/>
        <v/>
      </c>
      <c r="S17" t="str">
        <f t="shared" ca="1" si="0"/>
        <v/>
      </c>
      <c r="T17" t="str">
        <f t="shared" ca="1" si="0"/>
        <v/>
      </c>
      <c r="U17" t="str">
        <f t="shared" ca="1" si="0"/>
        <v/>
      </c>
      <c r="V17" t="str">
        <f t="shared" ca="1" si="0"/>
        <v/>
      </c>
      <c r="W17" t="str">
        <f t="shared" ref="W17:W40" ca="1" si="1">_xlfn.CONCAT(H17:V17)</f>
        <v xml:space="preserve">Aircraft, Fire, Flood, Hail, lightning, </v>
      </c>
      <c r="X17" t="str">
        <f t="shared" ref="X17:X40" ca="1" si="2">LEFT(W17,LEN(W17)-2)</f>
        <v>Aircraft, Fire, Flood, Hail, lightning</v>
      </c>
    </row>
    <row r="18" spans="1:24" x14ac:dyDescent="0.3">
      <c r="A18" s="18" t="s">
        <v>2294</v>
      </c>
      <c r="B18">
        <v>1760000</v>
      </c>
      <c r="C18">
        <f t="shared" ref="C18:C40" ca="1" si="3">RANDBETWEEN(1,10)</f>
        <v>5</v>
      </c>
      <c r="D18">
        <f ca="1">RANDBETWEEN(10,99)</f>
        <v>91</v>
      </c>
      <c r="E18" s="25">
        <f t="shared" ref="E18:E40" ca="1" si="4">C18*1000000+D18*10000</f>
        <v>5910000</v>
      </c>
      <c r="F18">
        <f t="shared" ref="F18:F40" ca="1" si="5">RANDBETWEEN(0,10)</f>
        <v>6</v>
      </c>
      <c r="G18">
        <v>1000</v>
      </c>
      <c r="H18" t="str">
        <f t="shared" ref="H18:V40" ca="1" si="6">IF(RAND()&lt;=H$15,H$16,"")</f>
        <v xml:space="preserve">Aircraft, </v>
      </c>
      <c r="I18" t="str">
        <f t="shared" ca="1" si="0"/>
        <v xml:space="preserve">Earthquake, </v>
      </c>
      <c r="J18" t="str">
        <f t="shared" ca="1" si="0"/>
        <v/>
      </c>
      <c r="K18" t="str">
        <f t="shared" ca="1" si="0"/>
        <v xml:space="preserve">Falling objects, </v>
      </c>
      <c r="L18" t="str">
        <f t="shared" ca="1" si="0"/>
        <v xml:space="preserve">Fire, </v>
      </c>
      <c r="M18" t="str">
        <f t="shared" ca="1" si="0"/>
        <v xml:space="preserve">Flood, </v>
      </c>
      <c r="N18" t="str">
        <f t="shared" ca="1" si="0"/>
        <v xml:space="preserve">Hail, </v>
      </c>
      <c r="O18" t="str">
        <f t="shared" ca="1" si="0"/>
        <v xml:space="preserve">lightning, </v>
      </c>
      <c r="P18" t="str">
        <f t="shared" ca="1" si="0"/>
        <v/>
      </c>
      <c r="Q18" t="str">
        <f t="shared" ca="1" si="0"/>
        <v xml:space="preserve">Smoke, </v>
      </c>
      <c r="R18" t="str">
        <f t="shared" ca="1" si="0"/>
        <v/>
      </c>
      <c r="S18" t="str">
        <f t="shared" ca="1" si="0"/>
        <v xml:space="preserve">Theft, </v>
      </c>
      <c r="T18" t="str">
        <f t="shared" ca="1" si="0"/>
        <v/>
      </c>
      <c r="U18" t="str">
        <f t="shared" ca="1" si="0"/>
        <v/>
      </c>
      <c r="V18" t="str">
        <f t="shared" ca="1" si="0"/>
        <v/>
      </c>
      <c r="W18" t="str">
        <f t="shared" ca="1" si="1"/>
        <v xml:space="preserve">Aircraft, Earthquake, Falling objects, Fire, Flood, Hail, lightning, Smoke, Theft, </v>
      </c>
      <c r="X18" t="str">
        <f t="shared" ca="1" si="2"/>
        <v>Aircraft, Earthquake, Falling objects, Fire, Flood, Hail, lightning, Smoke, Theft</v>
      </c>
    </row>
    <row r="19" spans="1:24" x14ac:dyDescent="0.3">
      <c r="A19" s="18" t="s">
        <v>2293</v>
      </c>
      <c r="B19">
        <v>7430000</v>
      </c>
      <c r="C19">
        <f t="shared" ca="1" si="3"/>
        <v>6</v>
      </c>
      <c r="D19">
        <f t="shared" ref="D19:D40" ca="1" si="7">RANDBETWEEN(100,999)</f>
        <v>478</v>
      </c>
      <c r="E19" s="25">
        <f t="shared" ca="1" si="4"/>
        <v>10780000</v>
      </c>
      <c r="F19">
        <f t="shared" ca="1" si="5"/>
        <v>8</v>
      </c>
      <c r="G19">
        <v>1000</v>
      </c>
      <c r="H19" t="str">
        <f t="shared" ca="1" si="6"/>
        <v/>
      </c>
      <c r="I19" t="str">
        <f t="shared" ca="1" si="0"/>
        <v/>
      </c>
      <c r="J19" t="str">
        <f t="shared" ca="1" si="0"/>
        <v xml:space="preserve">Explosion, </v>
      </c>
      <c r="K19" t="str">
        <f t="shared" ca="1" si="0"/>
        <v xml:space="preserve">Falling objects, </v>
      </c>
      <c r="L19" t="str">
        <f t="shared" ca="1" si="0"/>
        <v xml:space="preserve">Fire, </v>
      </c>
      <c r="M19" t="str">
        <f t="shared" ca="1" si="0"/>
        <v xml:space="preserve">Flood, </v>
      </c>
      <c r="N19" t="str">
        <f t="shared" ca="1" si="0"/>
        <v xml:space="preserve">Hail, </v>
      </c>
      <c r="O19" t="str">
        <f t="shared" ca="1" si="0"/>
        <v/>
      </c>
      <c r="P19" t="str">
        <f t="shared" ca="1" si="0"/>
        <v/>
      </c>
      <c r="Q19" t="str">
        <f t="shared" ca="1" si="0"/>
        <v/>
      </c>
      <c r="R19" t="str">
        <f t="shared" ca="1" si="0"/>
        <v/>
      </c>
      <c r="S19" t="str">
        <f t="shared" ca="1" si="0"/>
        <v xml:space="preserve">Theft, </v>
      </c>
      <c r="T19" t="str">
        <f t="shared" ca="1" si="0"/>
        <v/>
      </c>
      <c r="U19" t="str">
        <f t="shared" ca="1" si="0"/>
        <v xml:space="preserve">Vandalism, </v>
      </c>
      <c r="V19" t="str">
        <f t="shared" ca="1" si="0"/>
        <v xml:space="preserve">Windstorm, </v>
      </c>
      <c r="W19" t="str">
        <f t="shared" ca="1" si="1"/>
        <v xml:space="preserve">Explosion, Falling objects, Fire, Flood, Hail, Theft, Vandalism, Windstorm, </v>
      </c>
      <c r="X19" t="str">
        <f t="shared" ca="1" si="2"/>
        <v>Explosion, Falling objects, Fire, Flood, Hail, Theft, Vandalism, Windstorm</v>
      </c>
    </row>
    <row r="20" spans="1:24" x14ac:dyDescent="0.3">
      <c r="A20" s="18" t="s">
        <v>2307</v>
      </c>
      <c r="B20">
        <v>13140000</v>
      </c>
      <c r="C20">
        <f t="shared" ca="1" si="3"/>
        <v>5</v>
      </c>
      <c r="D20">
        <f t="shared" ca="1" si="7"/>
        <v>672</v>
      </c>
      <c r="E20" s="25">
        <f t="shared" ca="1" si="4"/>
        <v>11720000</v>
      </c>
      <c r="F20">
        <f t="shared" ca="1" si="5"/>
        <v>0</v>
      </c>
      <c r="G20">
        <v>6000</v>
      </c>
      <c r="H20" t="str">
        <f t="shared" ca="1" si="6"/>
        <v xml:space="preserve">Aircraft, </v>
      </c>
      <c r="I20" t="str">
        <f t="shared" ca="1" si="0"/>
        <v xml:space="preserve">Earthquake, </v>
      </c>
      <c r="J20" t="str">
        <f t="shared" ca="1" si="0"/>
        <v xml:space="preserve">Explosion, </v>
      </c>
      <c r="K20" t="str">
        <f t="shared" ca="1" si="0"/>
        <v xml:space="preserve">Falling objects, </v>
      </c>
      <c r="L20" t="str">
        <f t="shared" ca="1" si="0"/>
        <v xml:space="preserve">Fire, </v>
      </c>
      <c r="M20" t="str">
        <f t="shared" ca="1" si="0"/>
        <v xml:space="preserve">Flood, </v>
      </c>
      <c r="N20" t="str">
        <f t="shared" ca="1" si="0"/>
        <v xml:space="preserve">Hail, </v>
      </c>
      <c r="O20" t="str">
        <f t="shared" ca="1" si="0"/>
        <v xml:space="preserve">lightning, </v>
      </c>
      <c r="P20" t="str">
        <f t="shared" ca="1" si="0"/>
        <v xml:space="preserve">Riot, </v>
      </c>
      <c r="Q20" t="str">
        <f t="shared" ca="1" si="0"/>
        <v xml:space="preserve">Smoke, </v>
      </c>
      <c r="R20" t="str">
        <f t="shared" ca="1" si="0"/>
        <v/>
      </c>
      <c r="S20" t="str">
        <f t="shared" ca="1" si="0"/>
        <v xml:space="preserve">Theft, </v>
      </c>
      <c r="T20" t="str">
        <f t="shared" ca="1" si="0"/>
        <v xml:space="preserve">Transit Accident, </v>
      </c>
      <c r="U20" t="str">
        <f t="shared" ca="1" si="0"/>
        <v xml:space="preserve">Vandalism, </v>
      </c>
      <c r="V20" t="str">
        <f t="shared" ca="1" si="0"/>
        <v xml:space="preserve">Windstorm, </v>
      </c>
      <c r="W20" t="str">
        <f t="shared" ca="1" si="1"/>
        <v xml:space="preserve">Aircraft, Earthquake, Explosion, Falling objects, Fire, Flood, Hail, lightning, Riot, Smoke, Theft, Transit Accident, Vandalism, Windstorm, </v>
      </c>
      <c r="X20" t="str">
        <f t="shared" ca="1" si="2"/>
        <v>Aircraft, Earthquake, Explosion, Falling objects, Fire, Flood, Hail, lightning, Riot, Smoke, Theft, Transit Accident, Vandalism, Windstorm</v>
      </c>
    </row>
    <row r="21" spans="1:24" x14ac:dyDescent="0.3">
      <c r="A21" s="15" t="s">
        <v>2303</v>
      </c>
      <c r="B21">
        <v>15210000</v>
      </c>
      <c r="C21">
        <f t="shared" ca="1" si="3"/>
        <v>9</v>
      </c>
      <c r="D21">
        <f t="shared" ca="1" si="7"/>
        <v>796</v>
      </c>
      <c r="E21" s="25">
        <f t="shared" ca="1" si="4"/>
        <v>16960000</v>
      </c>
      <c r="F21">
        <f t="shared" ca="1" si="5"/>
        <v>6</v>
      </c>
      <c r="G21">
        <v>3000</v>
      </c>
      <c r="H21" t="str">
        <f t="shared" ca="1" si="6"/>
        <v/>
      </c>
      <c r="I21" t="str">
        <f t="shared" ca="1" si="0"/>
        <v/>
      </c>
      <c r="J21" t="str">
        <f t="shared" ca="1" si="0"/>
        <v xml:space="preserve">Explosion, </v>
      </c>
      <c r="K21" t="str">
        <f t="shared" ca="1" si="0"/>
        <v/>
      </c>
      <c r="L21" t="str">
        <f t="shared" ca="1" si="0"/>
        <v xml:space="preserve">Fire, </v>
      </c>
      <c r="M21" t="str">
        <f t="shared" ca="1" si="0"/>
        <v xml:space="preserve">Flood, </v>
      </c>
      <c r="N21" t="str">
        <f t="shared" ca="1" si="0"/>
        <v/>
      </c>
      <c r="O21" t="str">
        <f t="shared" ca="1" si="0"/>
        <v xml:space="preserve">lightning, </v>
      </c>
      <c r="P21" t="str">
        <f t="shared" ca="1" si="0"/>
        <v/>
      </c>
      <c r="Q21" t="str">
        <f t="shared" ca="1" si="0"/>
        <v xml:space="preserve">Smoke, </v>
      </c>
      <c r="R21" t="str">
        <f t="shared" ca="1" si="0"/>
        <v xml:space="preserve">Terrorism, </v>
      </c>
      <c r="S21" t="str">
        <f t="shared" ca="1" si="0"/>
        <v xml:space="preserve">Theft, </v>
      </c>
      <c r="T21" t="str">
        <f t="shared" ca="1" si="0"/>
        <v xml:space="preserve">Transit Accident, </v>
      </c>
      <c r="U21" t="str">
        <f t="shared" ca="1" si="0"/>
        <v xml:space="preserve">Vandalism, </v>
      </c>
      <c r="V21" t="str">
        <f t="shared" ca="1" si="0"/>
        <v/>
      </c>
      <c r="W21" t="str">
        <f t="shared" ca="1" si="1"/>
        <v xml:space="preserve">Explosion, Fire, Flood, lightning, Smoke, Terrorism, Theft, Transit Accident, Vandalism, </v>
      </c>
      <c r="X21" t="str">
        <f t="shared" ca="1" si="2"/>
        <v>Explosion, Fire, Flood, lightning, Smoke, Terrorism, Theft, Transit Accident, Vandalism</v>
      </c>
    </row>
    <row r="22" spans="1:24" x14ac:dyDescent="0.3">
      <c r="A22" s="15" t="s">
        <v>2297</v>
      </c>
      <c r="B22">
        <v>8920000</v>
      </c>
      <c r="C22">
        <f t="shared" ca="1" si="3"/>
        <v>4</v>
      </c>
      <c r="D22">
        <f t="shared" ca="1" si="7"/>
        <v>804</v>
      </c>
      <c r="E22" s="25">
        <f t="shared" ca="1" si="4"/>
        <v>12040000</v>
      </c>
      <c r="F22">
        <f t="shared" ca="1" si="5"/>
        <v>6</v>
      </c>
      <c r="G22">
        <v>0</v>
      </c>
      <c r="H22" t="str">
        <f t="shared" ca="1" si="6"/>
        <v/>
      </c>
      <c r="I22" t="str">
        <f t="shared" ca="1" si="0"/>
        <v xml:space="preserve">Earthquake, </v>
      </c>
      <c r="J22" t="str">
        <f t="shared" ca="1" si="0"/>
        <v xml:space="preserve">Explosion, </v>
      </c>
      <c r="K22" t="str">
        <f t="shared" ca="1" si="0"/>
        <v xml:space="preserve">Falling objects, </v>
      </c>
      <c r="L22" t="str">
        <f t="shared" ca="1" si="0"/>
        <v xml:space="preserve">Fire, </v>
      </c>
      <c r="M22" t="str">
        <f t="shared" ca="1" si="0"/>
        <v xml:space="preserve">Flood, </v>
      </c>
      <c r="N22" t="str">
        <f t="shared" ca="1" si="0"/>
        <v xml:space="preserve">Hail, </v>
      </c>
      <c r="O22" t="str">
        <f t="shared" ca="1" si="0"/>
        <v xml:space="preserve">lightning, </v>
      </c>
      <c r="P22" t="str">
        <f t="shared" ca="1" si="0"/>
        <v/>
      </c>
      <c r="Q22" t="str">
        <f t="shared" ca="1" si="0"/>
        <v xml:space="preserve">Smoke, </v>
      </c>
      <c r="R22" t="str">
        <f t="shared" ca="1" si="0"/>
        <v/>
      </c>
      <c r="S22" t="str">
        <f t="shared" ca="1" si="0"/>
        <v xml:space="preserve">Theft, </v>
      </c>
      <c r="T22" t="str">
        <f t="shared" ca="1" si="0"/>
        <v/>
      </c>
      <c r="U22" t="str">
        <f t="shared" ca="1" si="0"/>
        <v/>
      </c>
      <c r="V22" t="str">
        <f t="shared" ca="1" si="0"/>
        <v xml:space="preserve">Windstorm, </v>
      </c>
      <c r="W22" t="str">
        <f t="shared" ca="1" si="1"/>
        <v xml:space="preserve">Earthquake, Explosion, Falling objects, Fire, Flood, Hail, lightning, Smoke, Theft, Windstorm, </v>
      </c>
      <c r="X22" t="str">
        <f t="shared" ca="1" si="2"/>
        <v>Earthquake, Explosion, Falling objects, Fire, Flood, Hail, lightning, Smoke, Theft, Windstorm</v>
      </c>
    </row>
    <row r="23" spans="1:24" x14ac:dyDescent="0.3">
      <c r="A23" s="15" t="s">
        <v>2298</v>
      </c>
      <c r="B23">
        <v>14150000</v>
      </c>
      <c r="C23">
        <f t="shared" ca="1" si="3"/>
        <v>10</v>
      </c>
      <c r="D23">
        <f t="shared" ca="1" si="7"/>
        <v>963</v>
      </c>
      <c r="E23" s="25">
        <f t="shared" ca="1" si="4"/>
        <v>19630000</v>
      </c>
      <c r="F23">
        <f t="shared" ca="1" si="5"/>
        <v>9</v>
      </c>
      <c r="G23">
        <v>7000</v>
      </c>
      <c r="H23" t="str">
        <f t="shared" ca="1" si="6"/>
        <v xml:space="preserve">Aircraft, </v>
      </c>
      <c r="I23" t="str">
        <f t="shared" ca="1" si="0"/>
        <v xml:space="preserve">Earthquake, </v>
      </c>
      <c r="J23" t="str">
        <f t="shared" ca="1" si="0"/>
        <v xml:space="preserve">Explosion, </v>
      </c>
      <c r="K23" t="str">
        <f t="shared" ca="1" si="0"/>
        <v xml:space="preserve">Falling objects, </v>
      </c>
      <c r="L23" t="str">
        <f t="shared" ca="1" si="0"/>
        <v xml:space="preserve">Fire, </v>
      </c>
      <c r="M23" t="str">
        <f t="shared" ca="1" si="0"/>
        <v xml:space="preserve">Flood, </v>
      </c>
      <c r="N23" t="str">
        <f t="shared" ca="1" si="0"/>
        <v xml:space="preserve">Hail, </v>
      </c>
      <c r="O23" t="str">
        <f t="shared" ca="1" si="0"/>
        <v/>
      </c>
      <c r="P23" t="str">
        <f t="shared" ca="1" si="0"/>
        <v xml:space="preserve">Riot, </v>
      </c>
      <c r="Q23" t="str">
        <f t="shared" ca="1" si="0"/>
        <v xml:space="preserve">Smoke, </v>
      </c>
      <c r="R23" t="str">
        <f t="shared" ca="1" si="0"/>
        <v xml:space="preserve">Terrorism, </v>
      </c>
      <c r="S23" t="str">
        <f t="shared" ca="1" si="0"/>
        <v/>
      </c>
      <c r="T23" t="str">
        <f t="shared" ca="1" si="0"/>
        <v xml:space="preserve">Transit Accident, </v>
      </c>
      <c r="U23" t="str">
        <f t="shared" ca="1" si="0"/>
        <v xml:space="preserve">Vandalism, </v>
      </c>
      <c r="V23" t="str">
        <f t="shared" ca="1" si="0"/>
        <v xml:space="preserve">Windstorm, </v>
      </c>
      <c r="W23" t="str">
        <f t="shared" ca="1" si="1"/>
        <v xml:space="preserve">Aircraft, Earthquake, Explosion, Falling objects, Fire, Flood, Hail, Riot, Smoke, Terrorism, Transit Accident, Vandalism, Windstorm, </v>
      </c>
      <c r="X23" t="str">
        <f t="shared" ca="1" si="2"/>
        <v>Aircraft, Earthquake, Explosion, Falling objects, Fire, Flood, Hail, Riot, Smoke, Terrorism, Transit Accident, Vandalism, Windstorm</v>
      </c>
    </row>
    <row r="24" spans="1:24" x14ac:dyDescent="0.3">
      <c r="A24" s="18" t="s">
        <v>2299</v>
      </c>
      <c r="B24">
        <v>11920000</v>
      </c>
      <c r="C24">
        <f t="shared" ca="1" si="3"/>
        <v>1</v>
      </c>
      <c r="D24">
        <f t="shared" ca="1" si="7"/>
        <v>363</v>
      </c>
      <c r="E24" s="25">
        <f t="shared" ca="1" si="4"/>
        <v>4630000</v>
      </c>
      <c r="F24">
        <f t="shared" ca="1" si="5"/>
        <v>4</v>
      </c>
      <c r="G24">
        <v>5000</v>
      </c>
      <c r="H24" t="str">
        <f t="shared" ca="1" si="6"/>
        <v xml:space="preserve">Aircraft, </v>
      </c>
      <c r="I24" t="str">
        <f t="shared" ca="1" si="0"/>
        <v xml:space="preserve">Earthquake, </v>
      </c>
      <c r="J24" t="str">
        <f t="shared" ca="1" si="0"/>
        <v/>
      </c>
      <c r="K24" t="str">
        <f t="shared" ca="1" si="0"/>
        <v/>
      </c>
      <c r="L24" t="str">
        <f t="shared" ca="1" si="0"/>
        <v xml:space="preserve">Fire, </v>
      </c>
      <c r="M24" t="str">
        <f t="shared" ca="1" si="0"/>
        <v xml:space="preserve">Flood, </v>
      </c>
      <c r="N24" t="str">
        <f t="shared" ca="1" si="0"/>
        <v xml:space="preserve">Hail, </v>
      </c>
      <c r="O24" t="str">
        <f t="shared" ca="1" si="0"/>
        <v/>
      </c>
      <c r="P24" t="str">
        <f t="shared" ca="1" si="0"/>
        <v/>
      </c>
      <c r="Q24" t="str">
        <f t="shared" ca="1" si="0"/>
        <v/>
      </c>
      <c r="R24" t="str">
        <f t="shared" ca="1" si="0"/>
        <v xml:space="preserve">Terrorism, </v>
      </c>
      <c r="S24" t="str">
        <f t="shared" ca="1" si="0"/>
        <v xml:space="preserve">Theft, </v>
      </c>
      <c r="T24" t="str">
        <f t="shared" ca="1" si="0"/>
        <v/>
      </c>
      <c r="U24" t="str">
        <f t="shared" ca="1" si="0"/>
        <v/>
      </c>
      <c r="V24" t="str">
        <f t="shared" ca="1" si="0"/>
        <v xml:space="preserve">Windstorm, </v>
      </c>
      <c r="W24" t="str">
        <f t="shared" ca="1" si="1"/>
        <v xml:space="preserve">Aircraft, Earthquake, Fire, Flood, Hail, Terrorism, Theft, Windstorm, </v>
      </c>
      <c r="X24" t="str">
        <f t="shared" ca="1" si="2"/>
        <v>Aircraft, Earthquake, Fire, Flood, Hail, Terrorism, Theft, Windstorm</v>
      </c>
    </row>
    <row r="25" spans="1:24" x14ac:dyDescent="0.3">
      <c r="A25" s="15" t="s">
        <v>2304</v>
      </c>
      <c r="B25">
        <v>14880000</v>
      </c>
      <c r="C25">
        <f t="shared" ca="1" si="3"/>
        <v>10</v>
      </c>
      <c r="D25">
        <f t="shared" ca="1" si="7"/>
        <v>795</v>
      </c>
      <c r="E25" s="25">
        <f t="shared" ca="1" si="4"/>
        <v>17950000</v>
      </c>
      <c r="F25">
        <f t="shared" ca="1" si="5"/>
        <v>4</v>
      </c>
      <c r="G25">
        <v>4000</v>
      </c>
      <c r="H25" t="str">
        <f t="shared" ca="1" si="6"/>
        <v/>
      </c>
      <c r="I25" t="str">
        <f t="shared" ca="1" si="0"/>
        <v xml:space="preserve">Earthquake, </v>
      </c>
      <c r="J25" t="str">
        <f t="shared" ca="1" si="0"/>
        <v/>
      </c>
      <c r="K25" t="str">
        <f t="shared" ca="1" si="0"/>
        <v xml:space="preserve">Falling objects, </v>
      </c>
      <c r="L25" t="str">
        <f t="shared" ca="1" si="0"/>
        <v xml:space="preserve">Fire, </v>
      </c>
      <c r="M25" t="str">
        <f t="shared" ca="1" si="0"/>
        <v xml:space="preserve">Flood, </v>
      </c>
      <c r="N25" t="str">
        <f t="shared" ca="1" si="0"/>
        <v/>
      </c>
      <c r="O25" t="str">
        <f t="shared" ca="1" si="0"/>
        <v xml:space="preserve">lightning, </v>
      </c>
      <c r="P25" t="str">
        <f t="shared" ca="1" si="0"/>
        <v/>
      </c>
      <c r="Q25" t="str">
        <f t="shared" ca="1" si="0"/>
        <v xml:space="preserve">Smoke, </v>
      </c>
      <c r="R25" t="str">
        <f t="shared" ca="1" si="0"/>
        <v xml:space="preserve">Terrorism, </v>
      </c>
      <c r="S25" t="str">
        <f t="shared" ca="1" si="0"/>
        <v xml:space="preserve">Theft, </v>
      </c>
      <c r="T25" t="str">
        <f t="shared" ca="1" si="0"/>
        <v/>
      </c>
      <c r="U25" t="str">
        <f t="shared" ca="1" si="0"/>
        <v/>
      </c>
      <c r="V25" t="str">
        <f t="shared" ca="1" si="0"/>
        <v xml:space="preserve">Windstorm, </v>
      </c>
      <c r="W25" t="str">
        <f t="shared" ca="1" si="1"/>
        <v xml:space="preserve">Earthquake, Falling objects, Fire, Flood, lightning, Smoke, Terrorism, Theft, Windstorm, </v>
      </c>
      <c r="X25" t="str">
        <f t="shared" ca="1" si="2"/>
        <v>Earthquake, Falling objects, Fire, Flood, lightning, Smoke, Terrorism, Theft, Windstorm</v>
      </c>
    </row>
    <row r="26" spans="1:24" x14ac:dyDescent="0.3">
      <c r="A26" s="15" t="s">
        <v>2305</v>
      </c>
      <c r="B26">
        <v>7850000</v>
      </c>
      <c r="C26">
        <f t="shared" ca="1" si="3"/>
        <v>4</v>
      </c>
      <c r="D26">
        <f t="shared" ca="1" si="7"/>
        <v>819</v>
      </c>
      <c r="E26" s="25">
        <f t="shared" ca="1" si="4"/>
        <v>12190000</v>
      </c>
      <c r="F26">
        <f t="shared" ca="1" si="5"/>
        <v>5</v>
      </c>
      <c r="G26">
        <v>0</v>
      </c>
      <c r="H26" t="str">
        <f t="shared" ca="1" si="6"/>
        <v xml:space="preserve">Aircraft, </v>
      </c>
      <c r="I26" t="str">
        <f t="shared" ca="1" si="0"/>
        <v/>
      </c>
      <c r="J26" t="str">
        <f t="shared" ca="1" si="0"/>
        <v xml:space="preserve">Explosion, </v>
      </c>
      <c r="K26" t="str">
        <f t="shared" ca="1" si="0"/>
        <v/>
      </c>
      <c r="L26" t="str">
        <f t="shared" ca="1" si="0"/>
        <v xml:space="preserve">Fire, </v>
      </c>
      <c r="M26" t="str">
        <f t="shared" ca="1" si="0"/>
        <v xml:space="preserve">Flood, </v>
      </c>
      <c r="N26" t="str">
        <f t="shared" ca="1" si="0"/>
        <v xml:space="preserve">Hail, </v>
      </c>
      <c r="O26" t="str">
        <f t="shared" ca="1" si="0"/>
        <v xml:space="preserve">lightning, </v>
      </c>
      <c r="P26" t="str">
        <f t="shared" ca="1" si="0"/>
        <v xml:space="preserve">Riot, </v>
      </c>
      <c r="Q26" t="str">
        <f t="shared" ca="1" si="0"/>
        <v xml:space="preserve">Smoke, </v>
      </c>
      <c r="R26" t="str">
        <f t="shared" ca="1" si="0"/>
        <v/>
      </c>
      <c r="S26" t="str">
        <f t="shared" ca="1" si="0"/>
        <v xml:space="preserve">Theft, </v>
      </c>
      <c r="T26" t="str">
        <f t="shared" ca="1" si="0"/>
        <v xml:space="preserve">Transit Accident, </v>
      </c>
      <c r="U26" t="str">
        <f t="shared" ca="1" si="0"/>
        <v xml:space="preserve">Vandalism, </v>
      </c>
      <c r="V26" t="str">
        <f t="shared" ca="1" si="0"/>
        <v/>
      </c>
      <c r="W26" t="str">
        <f t="shared" ca="1" si="1"/>
        <v xml:space="preserve">Aircraft, Explosion, Fire, Flood, Hail, lightning, Riot, Smoke, Theft, Transit Accident, Vandalism, </v>
      </c>
      <c r="X26" t="str">
        <f t="shared" ca="1" si="2"/>
        <v>Aircraft, Explosion, Fire, Flood, Hail, lightning, Riot, Smoke, Theft, Transit Accident, Vandalism</v>
      </c>
    </row>
    <row r="27" spans="1:24" x14ac:dyDescent="0.3">
      <c r="A27" s="18" t="s">
        <v>2306</v>
      </c>
      <c r="B27">
        <v>14850000</v>
      </c>
      <c r="C27">
        <f t="shared" ca="1" si="3"/>
        <v>1</v>
      </c>
      <c r="D27">
        <f t="shared" ca="1" si="7"/>
        <v>140</v>
      </c>
      <c r="E27" s="25">
        <f t="shared" ca="1" si="4"/>
        <v>2400000</v>
      </c>
      <c r="F27">
        <f t="shared" ca="1" si="5"/>
        <v>9</v>
      </c>
      <c r="G27">
        <v>4000</v>
      </c>
      <c r="H27" t="str">
        <f t="shared" ca="1" si="6"/>
        <v xml:space="preserve">Aircraft, </v>
      </c>
      <c r="I27" t="str">
        <f t="shared" ca="1" si="0"/>
        <v/>
      </c>
      <c r="J27" t="str">
        <f t="shared" ca="1" si="0"/>
        <v xml:space="preserve">Explosion, </v>
      </c>
      <c r="K27" t="str">
        <f t="shared" ca="1" si="0"/>
        <v xml:space="preserve">Falling objects, </v>
      </c>
      <c r="L27" t="str">
        <f t="shared" ca="1" si="0"/>
        <v xml:space="preserve">Fire, </v>
      </c>
      <c r="M27" t="str">
        <f t="shared" ca="1" si="0"/>
        <v xml:space="preserve">Flood, </v>
      </c>
      <c r="N27" t="str">
        <f t="shared" ca="1" si="0"/>
        <v xml:space="preserve">Hail, </v>
      </c>
      <c r="O27" t="str">
        <f t="shared" ca="1" si="0"/>
        <v xml:space="preserve">lightning, </v>
      </c>
      <c r="P27" t="str">
        <f t="shared" ca="1" si="0"/>
        <v/>
      </c>
      <c r="Q27" t="str">
        <f t="shared" ca="1" si="0"/>
        <v xml:space="preserve">Smoke, </v>
      </c>
      <c r="R27" t="str">
        <f t="shared" ca="1" si="0"/>
        <v/>
      </c>
      <c r="S27" t="str">
        <f t="shared" ca="1" si="0"/>
        <v xml:space="preserve">Theft, </v>
      </c>
      <c r="T27" t="str">
        <f t="shared" ca="1" si="0"/>
        <v xml:space="preserve">Transit Accident, </v>
      </c>
      <c r="U27" t="str">
        <f t="shared" ca="1" si="0"/>
        <v/>
      </c>
      <c r="V27" t="str">
        <f t="shared" ca="1" si="0"/>
        <v xml:space="preserve">Windstorm, </v>
      </c>
      <c r="W27" t="str">
        <f t="shared" ca="1" si="1"/>
        <v xml:space="preserve">Aircraft, Explosion, Falling objects, Fire, Flood, Hail, lightning, Smoke, Theft, Transit Accident, Windstorm, </v>
      </c>
      <c r="X27" t="str">
        <f t="shared" ca="1" si="2"/>
        <v>Aircraft, Explosion, Falling objects, Fire, Flood, Hail, lightning, Smoke, Theft, Transit Accident, Windstorm</v>
      </c>
    </row>
    <row r="28" spans="1:24" x14ac:dyDescent="0.3">
      <c r="A28" s="18" t="s">
        <v>2291</v>
      </c>
      <c r="B28">
        <v>6060000</v>
      </c>
      <c r="C28">
        <f t="shared" ca="1" si="3"/>
        <v>7</v>
      </c>
      <c r="D28">
        <f t="shared" ca="1" si="7"/>
        <v>431</v>
      </c>
      <c r="E28" s="25">
        <f t="shared" ca="1" si="4"/>
        <v>11310000</v>
      </c>
      <c r="F28">
        <f t="shared" ca="1" si="5"/>
        <v>6</v>
      </c>
      <c r="G28">
        <v>3000</v>
      </c>
      <c r="H28" t="str">
        <f t="shared" ca="1" si="6"/>
        <v/>
      </c>
      <c r="I28" t="str">
        <f t="shared" ca="1" si="0"/>
        <v xml:space="preserve">Earthquake, </v>
      </c>
      <c r="J28" t="str">
        <f t="shared" ca="1" si="0"/>
        <v xml:space="preserve">Explosion, </v>
      </c>
      <c r="K28" t="str">
        <f t="shared" ca="1" si="0"/>
        <v xml:space="preserve">Falling objects, </v>
      </c>
      <c r="L28" t="str">
        <f t="shared" ca="1" si="0"/>
        <v xml:space="preserve">Fire, </v>
      </c>
      <c r="M28" t="str">
        <f t="shared" ca="1" si="0"/>
        <v xml:space="preserve">Flood, </v>
      </c>
      <c r="N28" t="str">
        <f t="shared" ca="1" si="0"/>
        <v xml:space="preserve">Hail, </v>
      </c>
      <c r="O28" t="str">
        <f t="shared" ca="1" si="0"/>
        <v/>
      </c>
      <c r="P28" t="str">
        <f t="shared" ca="1" si="0"/>
        <v xml:space="preserve">Riot, </v>
      </c>
      <c r="Q28" t="str">
        <f t="shared" ca="1" si="0"/>
        <v xml:space="preserve">Smoke, </v>
      </c>
      <c r="R28" t="str">
        <f t="shared" ca="1" si="0"/>
        <v/>
      </c>
      <c r="S28" t="str">
        <f t="shared" ca="1" si="0"/>
        <v xml:space="preserve">Theft, </v>
      </c>
      <c r="T28" t="str">
        <f t="shared" ca="1" si="0"/>
        <v xml:space="preserve">Transit Accident, </v>
      </c>
      <c r="U28" t="str">
        <f t="shared" ca="1" si="0"/>
        <v xml:space="preserve">Vandalism, </v>
      </c>
      <c r="V28" t="str">
        <f t="shared" ca="1" si="0"/>
        <v/>
      </c>
      <c r="W28" t="str">
        <f t="shared" ca="1" si="1"/>
        <v xml:space="preserve">Earthquake, Explosion, Falling objects, Fire, Flood, Hail, Riot, Smoke, Theft, Transit Accident, Vandalism, </v>
      </c>
      <c r="X28" t="str">
        <f t="shared" ca="1" si="2"/>
        <v>Earthquake, Explosion, Falling objects, Fire, Flood, Hail, Riot, Smoke, Theft, Transit Accident, Vandalism</v>
      </c>
    </row>
    <row r="29" spans="1:24" x14ac:dyDescent="0.3">
      <c r="A29" s="15" t="s">
        <v>2292</v>
      </c>
      <c r="B29">
        <v>9950000</v>
      </c>
      <c r="C29">
        <f t="shared" ca="1" si="3"/>
        <v>8</v>
      </c>
      <c r="D29">
        <f t="shared" ca="1" si="7"/>
        <v>407</v>
      </c>
      <c r="E29" s="25">
        <f t="shared" ca="1" si="4"/>
        <v>12070000</v>
      </c>
      <c r="F29">
        <f t="shared" ca="1" si="5"/>
        <v>10</v>
      </c>
      <c r="G29">
        <v>8000</v>
      </c>
      <c r="H29" t="str">
        <f t="shared" ca="1" si="6"/>
        <v/>
      </c>
      <c r="I29" t="str">
        <f t="shared" ca="1" si="0"/>
        <v xml:space="preserve">Earthquake, </v>
      </c>
      <c r="J29" t="str">
        <f t="shared" ca="1" si="0"/>
        <v xml:space="preserve">Explosion, </v>
      </c>
      <c r="K29" t="str">
        <f t="shared" ca="1" si="0"/>
        <v/>
      </c>
      <c r="L29" t="str">
        <f t="shared" ca="1" si="0"/>
        <v xml:space="preserve">Fire, </v>
      </c>
      <c r="M29" t="str">
        <f t="shared" ca="1" si="0"/>
        <v xml:space="preserve">Flood, </v>
      </c>
      <c r="N29" t="str">
        <f t="shared" ca="1" si="0"/>
        <v xml:space="preserve">Hail, </v>
      </c>
      <c r="O29" t="str">
        <f t="shared" ca="1" si="0"/>
        <v/>
      </c>
      <c r="P29" t="str">
        <f t="shared" ca="1" si="0"/>
        <v/>
      </c>
      <c r="Q29" t="str">
        <f t="shared" ca="1" si="0"/>
        <v xml:space="preserve">Smoke, </v>
      </c>
      <c r="R29" t="str">
        <f t="shared" ca="1" si="0"/>
        <v/>
      </c>
      <c r="S29" t="str">
        <f t="shared" ca="1" si="0"/>
        <v/>
      </c>
      <c r="T29" t="str">
        <f t="shared" ca="1" si="0"/>
        <v xml:space="preserve">Transit Accident, </v>
      </c>
      <c r="U29" t="str">
        <f t="shared" ca="1" si="0"/>
        <v/>
      </c>
      <c r="V29" t="str">
        <f t="shared" ca="1" si="0"/>
        <v xml:space="preserve">Windstorm, </v>
      </c>
      <c r="W29" t="str">
        <f t="shared" ca="1" si="1"/>
        <v xml:space="preserve">Earthquake, Explosion, Fire, Flood, Hail, Smoke, Transit Accident, Windstorm, </v>
      </c>
      <c r="X29" t="str">
        <f t="shared" ca="1" si="2"/>
        <v>Earthquake, Explosion, Fire, Flood, Hail, Smoke, Transit Accident, Windstorm</v>
      </c>
    </row>
    <row r="30" spans="1:24" x14ac:dyDescent="0.3">
      <c r="A30" s="15" t="s">
        <v>2301</v>
      </c>
      <c r="B30">
        <v>3930000</v>
      </c>
      <c r="C30">
        <f t="shared" ca="1" si="3"/>
        <v>6</v>
      </c>
      <c r="D30">
        <f t="shared" ca="1" si="7"/>
        <v>225</v>
      </c>
      <c r="E30" s="25">
        <f t="shared" ca="1" si="4"/>
        <v>8250000</v>
      </c>
      <c r="F30">
        <f t="shared" ca="1" si="5"/>
        <v>7</v>
      </c>
      <c r="G30">
        <v>0</v>
      </c>
      <c r="H30" t="str">
        <f t="shared" ca="1" si="6"/>
        <v/>
      </c>
      <c r="I30" t="str">
        <f t="shared" ca="1" si="0"/>
        <v/>
      </c>
      <c r="J30" t="str">
        <f t="shared" ca="1" si="0"/>
        <v xml:space="preserve">Explosion, </v>
      </c>
      <c r="K30" t="str">
        <f t="shared" ca="1" si="0"/>
        <v xml:space="preserve">Falling objects, </v>
      </c>
      <c r="L30" t="str">
        <f t="shared" ca="1" si="0"/>
        <v xml:space="preserve">Fire, </v>
      </c>
      <c r="M30" t="str">
        <f t="shared" ca="1" si="0"/>
        <v xml:space="preserve">Flood, </v>
      </c>
      <c r="N30" t="str">
        <f t="shared" ca="1" si="0"/>
        <v xml:space="preserve">Hail, </v>
      </c>
      <c r="O30" t="str">
        <f t="shared" ca="1" si="0"/>
        <v xml:space="preserve">lightning, </v>
      </c>
      <c r="P30" t="str">
        <f t="shared" ca="1" si="0"/>
        <v/>
      </c>
      <c r="Q30" t="str">
        <f t="shared" ca="1" si="0"/>
        <v xml:space="preserve">Smoke, </v>
      </c>
      <c r="R30" t="str">
        <f t="shared" ca="1" si="0"/>
        <v/>
      </c>
      <c r="S30" t="str">
        <f t="shared" ca="1" si="0"/>
        <v xml:space="preserve">Theft, </v>
      </c>
      <c r="T30" t="str">
        <f t="shared" ca="1" si="0"/>
        <v/>
      </c>
      <c r="U30" t="str">
        <f t="shared" ca="1" si="0"/>
        <v xml:space="preserve">Vandalism, </v>
      </c>
      <c r="V30" t="str">
        <f t="shared" ca="1" si="0"/>
        <v/>
      </c>
      <c r="W30" t="str">
        <f t="shared" ca="1" si="1"/>
        <v xml:space="preserve">Explosion, Falling objects, Fire, Flood, Hail, lightning, Smoke, Theft, Vandalism, </v>
      </c>
      <c r="X30" t="str">
        <f t="shared" ca="1" si="2"/>
        <v>Explosion, Falling objects, Fire, Flood, Hail, lightning, Smoke, Theft, Vandalism</v>
      </c>
    </row>
    <row r="31" spans="1:24" x14ac:dyDescent="0.3">
      <c r="A31" s="18" t="s">
        <v>2296</v>
      </c>
      <c r="B31">
        <v>10880000</v>
      </c>
      <c r="C31">
        <f t="shared" ca="1" si="3"/>
        <v>2</v>
      </c>
      <c r="D31">
        <f t="shared" ca="1" si="7"/>
        <v>956</v>
      </c>
      <c r="E31" s="25">
        <f t="shared" ca="1" si="4"/>
        <v>11560000</v>
      </c>
      <c r="F31">
        <f t="shared" ca="1" si="5"/>
        <v>10</v>
      </c>
      <c r="G31">
        <v>9000</v>
      </c>
      <c r="H31" t="str">
        <f t="shared" ca="1" si="6"/>
        <v/>
      </c>
      <c r="I31" t="str">
        <f t="shared" ca="1" si="0"/>
        <v xml:space="preserve">Earthquake, </v>
      </c>
      <c r="J31" t="str">
        <f t="shared" ca="1" si="0"/>
        <v xml:space="preserve">Explosion, </v>
      </c>
      <c r="K31" t="str">
        <f t="shared" ca="1" si="0"/>
        <v/>
      </c>
      <c r="L31" t="str">
        <f t="shared" ca="1" si="0"/>
        <v xml:space="preserve">Fire, </v>
      </c>
      <c r="M31" t="str">
        <f t="shared" ca="1" si="0"/>
        <v xml:space="preserve">Flood, </v>
      </c>
      <c r="N31" t="str">
        <f t="shared" ca="1" si="0"/>
        <v xml:space="preserve">Hail, </v>
      </c>
      <c r="O31" t="str">
        <f t="shared" ca="1" si="0"/>
        <v xml:space="preserve">lightning, </v>
      </c>
      <c r="P31" t="str">
        <f t="shared" ca="1" si="0"/>
        <v/>
      </c>
      <c r="Q31" t="str">
        <f t="shared" ca="1" si="0"/>
        <v xml:space="preserve">Smoke, </v>
      </c>
      <c r="R31" t="str">
        <f t="shared" ca="1" si="0"/>
        <v xml:space="preserve">Terrorism, </v>
      </c>
      <c r="S31" t="str">
        <f t="shared" ca="1" si="0"/>
        <v xml:space="preserve">Theft, </v>
      </c>
      <c r="T31" t="str">
        <f t="shared" ca="1" si="0"/>
        <v xml:space="preserve">Transit Accident, </v>
      </c>
      <c r="U31" t="str">
        <f t="shared" ca="1" si="0"/>
        <v xml:space="preserve">Vandalism, </v>
      </c>
      <c r="V31" t="str">
        <f t="shared" ca="1" si="0"/>
        <v/>
      </c>
      <c r="W31" t="str">
        <f t="shared" ca="1" si="1"/>
        <v xml:space="preserve">Earthquake, Explosion, Fire, Flood, Hail, lightning, Smoke, Terrorism, Theft, Transit Accident, Vandalism, </v>
      </c>
      <c r="X31" t="str">
        <f t="shared" ca="1" si="2"/>
        <v>Earthquake, Explosion, Fire, Flood, Hail, lightning, Smoke, Terrorism, Theft, Transit Accident, Vandalism</v>
      </c>
    </row>
    <row r="32" spans="1:24" x14ac:dyDescent="0.3">
      <c r="A32" s="15" t="s">
        <v>2286</v>
      </c>
      <c r="B32">
        <v>10980000</v>
      </c>
      <c r="C32">
        <f t="shared" ca="1" si="3"/>
        <v>4</v>
      </c>
      <c r="D32">
        <f t="shared" ca="1" si="7"/>
        <v>237</v>
      </c>
      <c r="E32" s="25">
        <f t="shared" ca="1" si="4"/>
        <v>6370000</v>
      </c>
      <c r="F32">
        <f t="shared" ca="1" si="5"/>
        <v>2</v>
      </c>
      <c r="G32">
        <v>4000</v>
      </c>
      <c r="H32" t="str">
        <f t="shared" ca="1" si="6"/>
        <v/>
      </c>
      <c r="I32" t="str">
        <f t="shared" ca="1" si="0"/>
        <v/>
      </c>
      <c r="J32" t="str">
        <f t="shared" ca="1" si="0"/>
        <v xml:space="preserve">Explosion, </v>
      </c>
      <c r="K32" t="str">
        <f t="shared" ca="1" si="0"/>
        <v/>
      </c>
      <c r="L32" t="str">
        <f t="shared" ca="1" si="0"/>
        <v xml:space="preserve">Fire, </v>
      </c>
      <c r="M32" t="str">
        <f t="shared" ca="1" si="0"/>
        <v xml:space="preserve">Flood, </v>
      </c>
      <c r="N32" t="str">
        <f t="shared" ca="1" si="0"/>
        <v xml:space="preserve">Hail, </v>
      </c>
      <c r="O32" t="str">
        <f t="shared" ca="1" si="0"/>
        <v xml:space="preserve">lightning, </v>
      </c>
      <c r="P32" t="str">
        <f t="shared" ca="1" si="0"/>
        <v xml:space="preserve">Riot, </v>
      </c>
      <c r="Q32" t="str">
        <f t="shared" ca="1" si="0"/>
        <v/>
      </c>
      <c r="R32" t="str">
        <f t="shared" ca="1" si="0"/>
        <v/>
      </c>
      <c r="S32" t="str">
        <f t="shared" ca="1" si="0"/>
        <v xml:space="preserve">Theft, </v>
      </c>
      <c r="T32" t="str">
        <f t="shared" ca="1" si="0"/>
        <v xml:space="preserve">Transit Accident, </v>
      </c>
      <c r="U32" t="str">
        <f t="shared" ca="1" si="0"/>
        <v/>
      </c>
      <c r="V32" t="str">
        <f t="shared" ca="1" si="0"/>
        <v xml:space="preserve">Windstorm, </v>
      </c>
      <c r="W32" t="str">
        <f t="shared" ca="1" si="1"/>
        <v xml:space="preserve">Explosion, Fire, Flood, Hail, lightning, Riot, Theft, Transit Accident, Windstorm, </v>
      </c>
      <c r="X32" t="str">
        <f t="shared" ca="1" si="2"/>
        <v>Explosion, Fire, Flood, Hail, lightning, Riot, Theft, Transit Accident, Windstorm</v>
      </c>
    </row>
    <row r="33" spans="1:24" x14ac:dyDescent="0.3">
      <c r="A33" s="18" t="s">
        <v>2285</v>
      </c>
      <c r="B33">
        <v>5320000</v>
      </c>
      <c r="C33">
        <f t="shared" ca="1" si="3"/>
        <v>7</v>
      </c>
      <c r="D33">
        <f t="shared" ca="1" si="7"/>
        <v>698</v>
      </c>
      <c r="E33" s="25">
        <f t="shared" ca="1" si="4"/>
        <v>13980000</v>
      </c>
      <c r="F33">
        <f t="shared" ca="1" si="5"/>
        <v>2</v>
      </c>
      <c r="G33">
        <v>10000</v>
      </c>
      <c r="H33" t="str">
        <f t="shared" ca="1" si="6"/>
        <v/>
      </c>
      <c r="I33" t="str">
        <f t="shared" ca="1" si="6"/>
        <v xml:space="preserve">Earthquake, </v>
      </c>
      <c r="J33" t="str">
        <f t="shared" ca="1" si="6"/>
        <v xml:space="preserve">Explosion, </v>
      </c>
      <c r="K33" t="str">
        <f t="shared" ca="1" si="6"/>
        <v xml:space="preserve">Falling objects, </v>
      </c>
      <c r="L33" t="str">
        <f t="shared" ca="1" si="6"/>
        <v xml:space="preserve">Fire, </v>
      </c>
      <c r="M33" t="str">
        <f t="shared" ca="1" si="6"/>
        <v xml:space="preserve">Flood, </v>
      </c>
      <c r="N33" t="str">
        <f t="shared" ca="1" si="6"/>
        <v/>
      </c>
      <c r="O33" t="str">
        <f t="shared" ca="1" si="6"/>
        <v/>
      </c>
      <c r="P33" t="str">
        <f t="shared" ca="1" si="6"/>
        <v xml:space="preserve">Riot, </v>
      </c>
      <c r="Q33" t="str">
        <f t="shared" ca="1" si="6"/>
        <v/>
      </c>
      <c r="R33" t="str">
        <f t="shared" ca="1" si="6"/>
        <v/>
      </c>
      <c r="S33" t="str">
        <f t="shared" ca="1" si="6"/>
        <v xml:space="preserve">Theft, </v>
      </c>
      <c r="T33" t="str">
        <f t="shared" ca="1" si="6"/>
        <v xml:space="preserve">Transit Accident, </v>
      </c>
      <c r="U33" t="str">
        <f t="shared" ca="1" si="6"/>
        <v xml:space="preserve">Vandalism, </v>
      </c>
      <c r="V33" t="str">
        <f t="shared" ca="1" si="6"/>
        <v xml:space="preserve">Windstorm, </v>
      </c>
      <c r="W33" t="str">
        <f t="shared" ca="1" si="1"/>
        <v xml:space="preserve">Earthquake, Explosion, Falling objects, Fire, Flood, Riot, Theft, Transit Accident, Vandalism, Windstorm, </v>
      </c>
      <c r="X33" t="str">
        <f t="shared" ca="1" si="2"/>
        <v>Earthquake, Explosion, Falling objects, Fire, Flood, Riot, Theft, Transit Accident, Vandalism, Windstorm</v>
      </c>
    </row>
    <row r="34" spans="1:24" x14ac:dyDescent="0.3">
      <c r="A34" s="18" t="s">
        <v>2290</v>
      </c>
      <c r="B34">
        <v>16240000</v>
      </c>
      <c r="C34">
        <f t="shared" ca="1" si="3"/>
        <v>6</v>
      </c>
      <c r="D34">
        <f t="shared" ca="1" si="7"/>
        <v>401</v>
      </c>
      <c r="E34" s="25">
        <f t="shared" ca="1" si="4"/>
        <v>10010000</v>
      </c>
      <c r="F34">
        <f t="shared" ca="1" si="5"/>
        <v>0</v>
      </c>
      <c r="G34">
        <v>1000</v>
      </c>
      <c r="H34" t="str">
        <f t="shared" ca="1" si="6"/>
        <v/>
      </c>
      <c r="I34" t="str">
        <f t="shared" ca="1" si="6"/>
        <v xml:space="preserve">Earthquake, </v>
      </c>
      <c r="J34" t="str">
        <f t="shared" ca="1" si="6"/>
        <v xml:space="preserve">Explosion, </v>
      </c>
      <c r="K34" t="str">
        <f t="shared" ca="1" si="6"/>
        <v xml:space="preserve">Falling objects, </v>
      </c>
      <c r="L34" t="str">
        <f t="shared" ca="1" si="6"/>
        <v xml:space="preserve">Fire, </v>
      </c>
      <c r="M34" t="str">
        <f t="shared" ca="1" si="6"/>
        <v xml:space="preserve">Flood, </v>
      </c>
      <c r="N34" t="str">
        <f t="shared" ca="1" si="6"/>
        <v xml:space="preserve">Hail, </v>
      </c>
      <c r="O34" t="str">
        <f t="shared" ca="1" si="6"/>
        <v/>
      </c>
      <c r="P34" t="str">
        <f t="shared" ca="1" si="6"/>
        <v/>
      </c>
      <c r="Q34" t="str">
        <f t="shared" ca="1" si="6"/>
        <v xml:space="preserve">Smoke, </v>
      </c>
      <c r="R34" t="str">
        <f t="shared" ca="1" si="6"/>
        <v xml:space="preserve">Terrorism, </v>
      </c>
      <c r="S34" t="str">
        <f t="shared" ca="1" si="6"/>
        <v xml:space="preserve">Theft, </v>
      </c>
      <c r="T34" t="str">
        <f t="shared" ca="1" si="6"/>
        <v/>
      </c>
      <c r="U34" t="str">
        <f t="shared" ca="1" si="6"/>
        <v xml:space="preserve">Vandalism, </v>
      </c>
      <c r="V34" t="str">
        <f t="shared" ca="1" si="6"/>
        <v/>
      </c>
      <c r="W34" t="str">
        <f t="shared" ca="1" si="1"/>
        <v xml:space="preserve">Earthquake, Explosion, Falling objects, Fire, Flood, Hail, Smoke, Terrorism, Theft, Vandalism, </v>
      </c>
      <c r="X34" t="str">
        <f t="shared" ca="1" si="2"/>
        <v>Earthquake, Explosion, Falling objects, Fire, Flood, Hail, Smoke, Terrorism, Theft, Vandalism</v>
      </c>
    </row>
    <row r="35" spans="1:24" x14ac:dyDescent="0.3">
      <c r="A35" s="15" t="s">
        <v>2289</v>
      </c>
      <c r="B35">
        <v>13340000</v>
      </c>
      <c r="C35">
        <f t="shared" ca="1" si="3"/>
        <v>10</v>
      </c>
      <c r="D35">
        <f t="shared" ca="1" si="7"/>
        <v>566</v>
      </c>
      <c r="E35" s="25">
        <f t="shared" ca="1" si="4"/>
        <v>15660000</v>
      </c>
      <c r="F35">
        <f t="shared" ca="1" si="5"/>
        <v>10</v>
      </c>
      <c r="G35">
        <v>7000</v>
      </c>
      <c r="H35" t="str">
        <f t="shared" ca="1" si="6"/>
        <v xml:space="preserve">Aircraft, </v>
      </c>
      <c r="I35" t="str">
        <f t="shared" ca="1" si="6"/>
        <v/>
      </c>
      <c r="J35" t="str">
        <f t="shared" ca="1" si="6"/>
        <v xml:space="preserve">Explosion, </v>
      </c>
      <c r="K35" t="str">
        <f t="shared" ca="1" si="6"/>
        <v xml:space="preserve">Falling objects, </v>
      </c>
      <c r="L35" t="str">
        <f t="shared" ca="1" si="6"/>
        <v xml:space="preserve">Fire, </v>
      </c>
      <c r="M35" t="str">
        <f t="shared" ca="1" si="6"/>
        <v xml:space="preserve">Flood, </v>
      </c>
      <c r="N35" t="str">
        <f t="shared" ca="1" si="6"/>
        <v xml:space="preserve">Hail, </v>
      </c>
      <c r="O35" t="str">
        <f t="shared" ca="1" si="6"/>
        <v/>
      </c>
      <c r="P35" t="str">
        <f t="shared" ca="1" si="6"/>
        <v xml:space="preserve">Riot, </v>
      </c>
      <c r="Q35" t="str">
        <f t="shared" ca="1" si="6"/>
        <v xml:space="preserve">Smoke, </v>
      </c>
      <c r="R35" t="str">
        <f t="shared" ca="1" si="6"/>
        <v xml:space="preserve">Terrorism, </v>
      </c>
      <c r="S35" t="str">
        <f t="shared" ca="1" si="6"/>
        <v xml:space="preserve">Theft, </v>
      </c>
      <c r="T35" t="str">
        <f t="shared" ca="1" si="6"/>
        <v xml:space="preserve">Transit Accident, </v>
      </c>
      <c r="U35" t="str">
        <f t="shared" ca="1" si="6"/>
        <v xml:space="preserve">Vandalism, </v>
      </c>
      <c r="V35" t="str">
        <f t="shared" ca="1" si="6"/>
        <v xml:space="preserve">Windstorm, </v>
      </c>
      <c r="W35" t="str">
        <f t="shared" ca="1" si="1"/>
        <v xml:space="preserve">Aircraft, Explosion, Falling objects, Fire, Flood, Hail, Riot, Smoke, Terrorism, Theft, Transit Accident, Vandalism, Windstorm, </v>
      </c>
      <c r="X35" t="str">
        <f t="shared" ca="1" si="2"/>
        <v>Aircraft, Explosion, Falling objects, Fire, Flood, Hail, Riot, Smoke, Terrorism, Theft, Transit Accident, Vandalism, Windstorm</v>
      </c>
    </row>
    <row r="36" spans="1:24" x14ac:dyDescent="0.3">
      <c r="A36" s="15" t="s">
        <v>2284</v>
      </c>
      <c r="B36">
        <v>11710000</v>
      </c>
      <c r="C36">
        <f t="shared" ca="1" si="3"/>
        <v>1</v>
      </c>
      <c r="D36">
        <f t="shared" ca="1" si="7"/>
        <v>241</v>
      </c>
      <c r="E36" s="25">
        <f t="shared" ca="1" si="4"/>
        <v>3410000</v>
      </c>
      <c r="F36">
        <f t="shared" ca="1" si="5"/>
        <v>7</v>
      </c>
      <c r="G36">
        <v>4000</v>
      </c>
      <c r="H36" t="str">
        <f t="shared" ca="1" si="6"/>
        <v xml:space="preserve">Aircraft, </v>
      </c>
      <c r="I36" t="str">
        <f t="shared" ca="1" si="6"/>
        <v/>
      </c>
      <c r="J36" t="str">
        <f t="shared" ca="1" si="6"/>
        <v/>
      </c>
      <c r="K36" t="str">
        <f t="shared" ca="1" si="6"/>
        <v/>
      </c>
      <c r="L36" t="str">
        <f t="shared" ca="1" si="6"/>
        <v xml:space="preserve">Fire, </v>
      </c>
      <c r="M36" t="str">
        <f t="shared" ca="1" si="6"/>
        <v xml:space="preserve">Flood, </v>
      </c>
      <c r="N36" t="str">
        <f t="shared" ca="1" si="6"/>
        <v xml:space="preserve">Hail, </v>
      </c>
      <c r="O36" t="str">
        <f t="shared" ca="1" si="6"/>
        <v/>
      </c>
      <c r="P36" t="str">
        <f t="shared" ca="1" si="6"/>
        <v/>
      </c>
      <c r="Q36" t="str">
        <f t="shared" ca="1" si="6"/>
        <v xml:space="preserve">Smoke, </v>
      </c>
      <c r="R36" t="str">
        <f t="shared" ca="1" si="6"/>
        <v/>
      </c>
      <c r="S36" t="str">
        <f t="shared" ca="1" si="6"/>
        <v xml:space="preserve">Theft, </v>
      </c>
      <c r="T36" t="str">
        <f t="shared" ca="1" si="6"/>
        <v xml:space="preserve">Transit Accident, </v>
      </c>
      <c r="U36" t="str">
        <f t="shared" ca="1" si="6"/>
        <v xml:space="preserve">Vandalism, </v>
      </c>
      <c r="V36" t="str">
        <f t="shared" ca="1" si="6"/>
        <v/>
      </c>
      <c r="W36" t="str">
        <f t="shared" ca="1" si="1"/>
        <v xml:space="preserve">Aircraft, Fire, Flood, Hail, Smoke, Theft, Transit Accident, Vandalism, </v>
      </c>
      <c r="X36" t="str">
        <f t="shared" ca="1" si="2"/>
        <v>Aircraft, Fire, Flood, Hail, Smoke, Theft, Transit Accident, Vandalism</v>
      </c>
    </row>
    <row r="37" spans="1:24" x14ac:dyDescent="0.3">
      <c r="A37" s="18" t="s">
        <v>2300</v>
      </c>
      <c r="B37">
        <v>6210000</v>
      </c>
      <c r="C37">
        <f t="shared" ca="1" si="3"/>
        <v>5</v>
      </c>
      <c r="D37">
        <f t="shared" ca="1" si="7"/>
        <v>921</v>
      </c>
      <c r="E37" s="25">
        <f t="shared" ca="1" si="4"/>
        <v>14210000</v>
      </c>
      <c r="F37">
        <f t="shared" ca="1" si="5"/>
        <v>3</v>
      </c>
      <c r="G37">
        <v>6000</v>
      </c>
      <c r="H37" t="str">
        <f t="shared" ca="1" si="6"/>
        <v/>
      </c>
      <c r="I37" t="str">
        <f t="shared" ca="1" si="6"/>
        <v xml:space="preserve">Earthquake, </v>
      </c>
      <c r="J37" t="str">
        <f t="shared" ca="1" si="6"/>
        <v xml:space="preserve">Explosion, </v>
      </c>
      <c r="K37" t="str">
        <f t="shared" ca="1" si="6"/>
        <v xml:space="preserve">Falling objects, </v>
      </c>
      <c r="L37" t="str">
        <f t="shared" ca="1" si="6"/>
        <v xml:space="preserve">Fire, </v>
      </c>
      <c r="M37" t="str">
        <f t="shared" ca="1" si="6"/>
        <v/>
      </c>
      <c r="N37" t="str">
        <f t="shared" ca="1" si="6"/>
        <v xml:space="preserve">Hail, </v>
      </c>
      <c r="O37" t="str">
        <f t="shared" ca="1" si="6"/>
        <v xml:space="preserve">lightning, </v>
      </c>
      <c r="P37" t="str">
        <f t="shared" ca="1" si="6"/>
        <v xml:space="preserve">Riot, </v>
      </c>
      <c r="Q37" t="str">
        <f t="shared" ca="1" si="6"/>
        <v xml:space="preserve">Smoke, </v>
      </c>
      <c r="R37" t="str">
        <f t="shared" ca="1" si="6"/>
        <v xml:space="preserve">Terrorism, </v>
      </c>
      <c r="S37" t="str">
        <f t="shared" ca="1" si="6"/>
        <v xml:space="preserve">Theft, </v>
      </c>
      <c r="T37" t="str">
        <f t="shared" ca="1" si="6"/>
        <v/>
      </c>
      <c r="U37" t="str">
        <f t="shared" ca="1" si="6"/>
        <v xml:space="preserve">Vandalism, </v>
      </c>
      <c r="V37" t="str">
        <f t="shared" ca="1" si="6"/>
        <v/>
      </c>
      <c r="W37" t="str">
        <f t="shared" ca="1" si="1"/>
        <v xml:space="preserve">Earthquake, Explosion, Falling objects, Fire, Hail, lightning, Riot, Smoke, Terrorism, Theft, Vandalism, </v>
      </c>
      <c r="X37" t="str">
        <f t="shared" ca="1" si="2"/>
        <v>Earthquake, Explosion, Falling objects, Fire, Hail, lightning, Riot, Smoke, Terrorism, Theft, Vandalism</v>
      </c>
    </row>
    <row r="38" spans="1:24" x14ac:dyDescent="0.3">
      <c r="A38" s="18" t="s">
        <v>2302</v>
      </c>
      <c r="B38">
        <v>7850000</v>
      </c>
      <c r="C38">
        <f t="shared" ca="1" si="3"/>
        <v>3</v>
      </c>
      <c r="D38">
        <f t="shared" ca="1" si="7"/>
        <v>813</v>
      </c>
      <c r="E38" s="25">
        <f t="shared" ca="1" si="4"/>
        <v>11130000</v>
      </c>
      <c r="F38">
        <f t="shared" ca="1" si="5"/>
        <v>8</v>
      </c>
      <c r="G38">
        <v>7000</v>
      </c>
      <c r="H38" t="str">
        <f t="shared" ca="1" si="6"/>
        <v xml:space="preserve">Aircraft, </v>
      </c>
      <c r="I38" t="str">
        <f t="shared" ca="1" si="6"/>
        <v/>
      </c>
      <c r="J38" t="str">
        <f t="shared" ca="1" si="6"/>
        <v xml:space="preserve">Explosion, </v>
      </c>
      <c r="K38" t="str">
        <f t="shared" ca="1" si="6"/>
        <v xml:space="preserve">Falling objects, </v>
      </c>
      <c r="L38" t="str">
        <f t="shared" ca="1" si="6"/>
        <v xml:space="preserve">Fire, </v>
      </c>
      <c r="M38" t="str">
        <f t="shared" ca="1" si="6"/>
        <v xml:space="preserve">Flood, </v>
      </c>
      <c r="N38" t="str">
        <f t="shared" ca="1" si="6"/>
        <v xml:space="preserve">Hail, </v>
      </c>
      <c r="O38" t="str">
        <f t="shared" ca="1" si="6"/>
        <v/>
      </c>
      <c r="P38" t="str">
        <f t="shared" ca="1" si="6"/>
        <v xml:space="preserve">Riot, </v>
      </c>
      <c r="Q38" t="str">
        <f t="shared" ca="1" si="6"/>
        <v/>
      </c>
      <c r="R38" t="str">
        <f t="shared" ca="1" si="6"/>
        <v/>
      </c>
      <c r="S38" t="str">
        <f t="shared" ca="1" si="6"/>
        <v/>
      </c>
      <c r="T38" t="str">
        <f t="shared" ca="1" si="6"/>
        <v xml:space="preserve">Transit Accident, </v>
      </c>
      <c r="U38" t="str">
        <f t="shared" ca="1" si="6"/>
        <v xml:space="preserve">Vandalism, </v>
      </c>
      <c r="V38" t="str">
        <f t="shared" ca="1" si="6"/>
        <v/>
      </c>
      <c r="W38" t="str">
        <f t="shared" ca="1" si="1"/>
        <v xml:space="preserve">Aircraft, Explosion, Falling objects, Fire, Flood, Hail, Riot, Transit Accident, Vandalism, </v>
      </c>
      <c r="X38" t="str">
        <f t="shared" ca="1" si="2"/>
        <v>Aircraft, Explosion, Falling objects, Fire, Flood, Hail, Riot, Transit Accident, Vandalism</v>
      </c>
    </row>
    <row r="39" spans="1:24" x14ac:dyDescent="0.3">
      <c r="A39" s="15" t="s">
        <v>2287</v>
      </c>
      <c r="B39">
        <v>17400000</v>
      </c>
      <c r="C39">
        <f t="shared" ca="1" si="3"/>
        <v>8</v>
      </c>
      <c r="D39">
        <f t="shared" ca="1" si="7"/>
        <v>789</v>
      </c>
      <c r="E39" s="25">
        <f t="shared" ca="1" si="4"/>
        <v>15890000</v>
      </c>
      <c r="F39">
        <f t="shared" ca="1" si="5"/>
        <v>7</v>
      </c>
      <c r="G39">
        <v>4000</v>
      </c>
      <c r="H39" t="str">
        <f t="shared" ca="1" si="6"/>
        <v/>
      </c>
      <c r="I39" t="str">
        <f t="shared" ca="1" si="6"/>
        <v/>
      </c>
      <c r="J39" t="str">
        <f t="shared" ca="1" si="6"/>
        <v/>
      </c>
      <c r="K39" t="str">
        <f t="shared" ca="1" si="6"/>
        <v/>
      </c>
      <c r="L39" t="str">
        <f t="shared" ca="1" si="6"/>
        <v xml:space="preserve">Fire, </v>
      </c>
      <c r="M39" t="str">
        <f t="shared" ca="1" si="6"/>
        <v xml:space="preserve">Flood, </v>
      </c>
      <c r="N39" t="str">
        <f t="shared" ca="1" si="6"/>
        <v xml:space="preserve">Hail, </v>
      </c>
      <c r="O39" t="str">
        <f t="shared" ca="1" si="6"/>
        <v xml:space="preserve">lightning, </v>
      </c>
      <c r="P39" t="str">
        <f t="shared" ca="1" si="6"/>
        <v xml:space="preserve">Riot, </v>
      </c>
      <c r="Q39" t="str">
        <f t="shared" ca="1" si="6"/>
        <v xml:space="preserve">Smoke, </v>
      </c>
      <c r="R39" t="str">
        <f t="shared" ca="1" si="6"/>
        <v/>
      </c>
      <c r="S39" t="str">
        <f t="shared" ca="1" si="6"/>
        <v xml:space="preserve">Theft, </v>
      </c>
      <c r="T39" t="str">
        <f t="shared" ca="1" si="6"/>
        <v xml:space="preserve">Transit Accident, </v>
      </c>
      <c r="U39" t="str">
        <f t="shared" ca="1" si="6"/>
        <v xml:space="preserve">Vandalism, </v>
      </c>
      <c r="V39" t="str">
        <f t="shared" ca="1" si="6"/>
        <v/>
      </c>
      <c r="W39" t="str">
        <f t="shared" ca="1" si="1"/>
        <v xml:space="preserve">Fire, Flood, Hail, lightning, Riot, Smoke, Theft, Transit Accident, Vandalism, </v>
      </c>
      <c r="X39" t="str">
        <f t="shared" ca="1" si="2"/>
        <v>Fire, Flood, Hail, lightning, Riot, Smoke, Theft, Transit Accident, Vandalism</v>
      </c>
    </row>
    <row r="40" spans="1:24" x14ac:dyDescent="0.3">
      <c r="A40" s="18" t="s">
        <v>2288</v>
      </c>
      <c r="B40">
        <v>17890000</v>
      </c>
      <c r="C40">
        <f t="shared" ca="1" si="3"/>
        <v>5</v>
      </c>
      <c r="D40">
        <f t="shared" ca="1" si="7"/>
        <v>227</v>
      </c>
      <c r="E40" s="25">
        <f t="shared" ca="1" si="4"/>
        <v>7270000</v>
      </c>
      <c r="F40">
        <f t="shared" ca="1" si="5"/>
        <v>5</v>
      </c>
      <c r="G40">
        <v>10000</v>
      </c>
      <c r="H40" t="str">
        <f t="shared" ca="1" si="6"/>
        <v xml:space="preserve">Aircraft, </v>
      </c>
      <c r="I40" t="str">
        <f t="shared" ca="1" si="6"/>
        <v/>
      </c>
      <c r="J40" t="str">
        <f t="shared" ca="1" si="6"/>
        <v xml:space="preserve">Explosion, </v>
      </c>
      <c r="K40" t="str">
        <f t="shared" ca="1" si="6"/>
        <v/>
      </c>
      <c r="L40" t="str">
        <f t="shared" ca="1" si="6"/>
        <v xml:space="preserve">Fire, </v>
      </c>
      <c r="M40" t="str">
        <f t="shared" ca="1" si="6"/>
        <v xml:space="preserve">Flood, </v>
      </c>
      <c r="N40" t="str">
        <f t="shared" ca="1" si="6"/>
        <v xml:space="preserve">Hail, </v>
      </c>
      <c r="O40" t="str">
        <f t="shared" ca="1" si="6"/>
        <v/>
      </c>
      <c r="P40" t="str">
        <f t="shared" ca="1" si="6"/>
        <v xml:space="preserve">Riot, </v>
      </c>
      <c r="Q40" t="str">
        <f t="shared" ca="1" si="6"/>
        <v xml:space="preserve">Smoke, </v>
      </c>
      <c r="R40" t="str">
        <f t="shared" ca="1" si="6"/>
        <v/>
      </c>
      <c r="S40" t="str">
        <f t="shared" ca="1" si="6"/>
        <v xml:space="preserve">Theft, </v>
      </c>
      <c r="T40" t="str">
        <f t="shared" ca="1" si="6"/>
        <v/>
      </c>
      <c r="U40" t="str">
        <f t="shared" ca="1" si="6"/>
        <v/>
      </c>
      <c r="V40" t="str">
        <f t="shared" ca="1" si="6"/>
        <v/>
      </c>
      <c r="W40" t="str">
        <f t="shared" ca="1" si="1"/>
        <v xml:space="preserve">Aircraft, Explosion, Fire, Flood, Hail, Riot, Smoke, Theft, </v>
      </c>
      <c r="X40" t="str">
        <f t="shared" ca="1" si="2"/>
        <v>Aircraft, Explosion, Fire, Flood, Hail, Riot, Smoke, Theft</v>
      </c>
    </row>
  </sheetData>
  <sortState xmlns:xlrd2="http://schemas.microsoft.com/office/spreadsheetml/2017/richdata2" ref="H21:H37">
    <sortCondition ref="H21:H37"/>
  </sortSt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FB396-64B4-49EC-B53C-95CA161F6891}">
  <sheetPr codeName="Sheet10"/>
  <dimension ref="H17:V40"/>
  <sheetViews>
    <sheetView topLeftCell="A5" workbookViewId="0">
      <selection activeCell="F11" sqref="F11"/>
    </sheetView>
  </sheetViews>
  <sheetFormatPr defaultRowHeight="14.4" x14ac:dyDescent="0.3"/>
  <sheetData>
    <row r="17" spans="8:22" x14ac:dyDescent="0.3">
      <c r="H17" s="26">
        <f ca="1">RAND()</f>
        <v>0.68762052489437586</v>
      </c>
      <c r="I17" s="26">
        <f t="shared" ref="I17:V32" ca="1" si="0">RAND()</f>
        <v>0.41626237557418178</v>
      </c>
      <c r="J17" s="26">
        <f t="shared" ca="1" si="0"/>
        <v>0.32988399728745144</v>
      </c>
      <c r="K17" s="26">
        <f t="shared" ca="1" si="0"/>
        <v>0.12972865903776332</v>
      </c>
      <c r="L17" s="26">
        <f t="shared" ca="1" si="0"/>
        <v>0.50275114152605327</v>
      </c>
      <c r="M17" s="26">
        <f t="shared" ca="1" si="0"/>
        <v>0.34972114398107956</v>
      </c>
      <c r="N17" s="26">
        <f t="shared" ca="1" si="0"/>
        <v>0.76918571151180648</v>
      </c>
      <c r="O17" s="26">
        <f t="shared" ca="1" si="0"/>
        <v>0.94175341358217823</v>
      </c>
      <c r="P17" s="26">
        <f t="shared" ca="1" si="0"/>
        <v>0.6849122173462775</v>
      </c>
      <c r="Q17" s="26">
        <f t="shared" ca="1" si="0"/>
        <v>0.21089890794992316</v>
      </c>
      <c r="R17" s="26">
        <f t="shared" ca="1" si="0"/>
        <v>0.33188155423648658</v>
      </c>
      <c r="S17" s="26">
        <f t="shared" ca="1" si="0"/>
        <v>0.40732200120418771</v>
      </c>
      <c r="T17" s="26">
        <f t="shared" ca="1" si="0"/>
        <v>0.8889515061074359</v>
      </c>
      <c r="U17" s="26">
        <f t="shared" ca="1" si="0"/>
        <v>0.37146734629812073</v>
      </c>
      <c r="V17" s="26">
        <f t="shared" ca="1" si="0"/>
        <v>0.68900789684882313</v>
      </c>
    </row>
    <row r="18" spans="8:22" x14ac:dyDescent="0.3">
      <c r="H18" s="26">
        <f t="shared" ref="H18:V40" ca="1" si="1">RAND()</f>
        <v>0.55393469997016753</v>
      </c>
      <c r="I18" s="26">
        <f t="shared" ca="1" si="0"/>
        <v>0.6263431135385843</v>
      </c>
      <c r="J18" s="26">
        <f t="shared" ca="1" si="0"/>
        <v>0.84962918413402189</v>
      </c>
      <c r="K18" s="26">
        <f t="shared" ca="1" si="0"/>
        <v>2.8918288281346349E-2</v>
      </c>
      <c r="L18" s="26">
        <f t="shared" ca="1" si="0"/>
        <v>0.49830150424412045</v>
      </c>
      <c r="M18" s="26">
        <f t="shared" ca="1" si="0"/>
        <v>0.53718856402863946</v>
      </c>
      <c r="N18" s="26">
        <f t="shared" ca="1" si="0"/>
        <v>0.3144211656424547</v>
      </c>
      <c r="O18" s="26">
        <f t="shared" ca="1" si="0"/>
        <v>0.7675857090637257</v>
      </c>
      <c r="P18" s="26">
        <f t="shared" ca="1" si="0"/>
        <v>8.56300328999825E-2</v>
      </c>
      <c r="Q18" s="26">
        <f t="shared" ca="1" si="0"/>
        <v>6.7681542083536383E-3</v>
      </c>
      <c r="R18" s="26">
        <f t="shared" ca="1" si="0"/>
        <v>0.80521590788842268</v>
      </c>
      <c r="S18" s="26">
        <f t="shared" ca="1" si="0"/>
        <v>0.43799451691779712</v>
      </c>
      <c r="T18" s="26">
        <f t="shared" ca="1" si="0"/>
        <v>0.37510721038124062</v>
      </c>
      <c r="U18" s="26">
        <f t="shared" ca="1" si="0"/>
        <v>0.26826131525892205</v>
      </c>
      <c r="V18" s="26">
        <f t="shared" ca="1" si="0"/>
        <v>0.83889005304791098</v>
      </c>
    </row>
    <row r="19" spans="8:22" x14ac:dyDescent="0.3">
      <c r="H19" s="26">
        <f t="shared" ca="1" si="1"/>
        <v>6.1523495187173372E-2</v>
      </c>
      <c r="I19" s="26">
        <f t="shared" ca="1" si="0"/>
        <v>0.29380960015658864</v>
      </c>
      <c r="J19" s="26">
        <f t="shared" ca="1" si="0"/>
        <v>4.6146310925209266E-2</v>
      </c>
      <c r="K19" s="26">
        <f t="shared" ca="1" si="0"/>
        <v>0.60902399657297068</v>
      </c>
      <c r="L19" s="26">
        <f t="shared" ca="1" si="0"/>
        <v>0.3052603798547987</v>
      </c>
      <c r="M19" s="26">
        <f t="shared" ca="1" si="0"/>
        <v>0.14876012209864764</v>
      </c>
      <c r="N19" s="26">
        <f t="shared" ca="1" si="0"/>
        <v>0.38970858013499876</v>
      </c>
      <c r="O19" s="26">
        <f t="shared" ca="1" si="0"/>
        <v>0.46595558223584366</v>
      </c>
      <c r="P19" s="26">
        <f t="shared" ca="1" si="0"/>
        <v>0.42143043864210428</v>
      </c>
      <c r="Q19" s="26">
        <f t="shared" ca="1" si="0"/>
        <v>0.24077716226430168</v>
      </c>
      <c r="R19" s="26">
        <f t="shared" ca="1" si="0"/>
        <v>0.88199883940616663</v>
      </c>
      <c r="S19" s="26">
        <f t="shared" ca="1" si="0"/>
        <v>0.74329396010015281</v>
      </c>
      <c r="T19" s="26">
        <f t="shared" ca="1" si="0"/>
        <v>0.11026330121334471</v>
      </c>
      <c r="U19" s="26">
        <f t="shared" ca="1" si="0"/>
        <v>0.32199289222437244</v>
      </c>
      <c r="V19" s="26">
        <f t="shared" ca="1" si="0"/>
        <v>0.63080050802616172</v>
      </c>
    </row>
    <row r="20" spans="8:22" x14ac:dyDescent="0.3">
      <c r="H20" s="26">
        <f t="shared" ca="1" si="1"/>
        <v>0.41164256460766246</v>
      </c>
      <c r="I20" s="26">
        <f t="shared" ca="1" si="0"/>
        <v>0.59764405303748269</v>
      </c>
      <c r="J20" s="26">
        <f t="shared" ca="1" si="0"/>
        <v>0.19537554664676071</v>
      </c>
      <c r="K20" s="26">
        <f t="shared" ca="1" si="0"/>
        <v>2.5242888291244658E-2</v>
      </c>
      <c r="L20" s="26">
        <f t="shared" ca="1" si="0"/>
        <v>0.36106611585651904</v>
      </c>
      <c r="M20" s="26">
        <f t="shared" ca="1" si="0"/>
        <v>0.26465770397078403</v>
      </c>
      <c r="N20" s="26">
        <f t="shared" ca="1" si="0"/>
        <v>0.38046982645241822</v>
      </c>
      <c r="O20" s="26">
        <f t="shared" ca="1" si="0"/>
        <v>1.7886537837058514E-3</v>
      </c>
      <c r="P20" s="26">
        <f t="shared" ca="1" si="0"/>
        <v>0.16503097601689309</v>
      </c>
      <c r="Q20" s="26">
        <f t="shared" ca="1" si="0"/>
        <v>4.1961208210959833E-2</v>
      </c>
      <c r="R20" s="26">
        <f t="shared" ca="1" si="0"/>
        <v>0.34128083862175085</v>
      </c>
      <c r="S20" s="26">
        <f t="shared" ca="1" si="0"/>
        <v>0.40545599860977088</v>
      </c>
      <c r="T20" s="26">
        <f t="shared" ca="1" si="0"/>
        <v>0.53000856629403159</v>
      </c>
      <c r="U20" s="26">
        <f t="shared" ca="1" si="0"/>
        <v>0.31739471004422715</v>
      </c>
      <c r="V20" s="26">
        <f t="shared" ca="1" si="0"/>
        <v>0.8193337119168328</v>
      </c>
    </row>
    <row r="21" spans="8:22" x14ac:dyDescent="0.3">
      <c r="H21" s="26">
        <f t="shared" ca="1" si="1"/>
        <v>0.51292293931084776</v>
      </c>
      <c r="I21" s="26">
        <f t="shared" ca="1" si="0"/>
        <v>0.76107030740125081</v>
      </c>
      <c r="J21" s="26">
        <f t="shared" ca="1" si="0"/>
        <v>0.72847138774544529</v>
      </c>
      <c r="K21" s="26">
        <f t="shared" ca="1" si="0"/>
        <v>0.28587358998444368</v>
      </c>
      <c r="L21" s="26">
        <f t="shared" ca="1" si="0"/>
        <v>0.77294701384488917</v>
      </c>
      <c r="M21" s="26">
        <f t="shared" ca="1" si="0"/>
        <v>0.19176496206386517</v>
      </c>
      <c r="N21" s="26">
        <f t="shared" ca="1" si="0"/>
        <v>0.22624369836526892</v>
      </c>
      <c r="O21" s="26">
        <f t="shared" ca="1" si="0"/>
        <v>0.55453823970039762</v>
      </c>
      <c r="P21" s="26">
        <f t="shared" ca="1" si="0"/>
        <v>0.61231666390840134</v>
      </c>
      <c r="Q21" s="26">
        <f t="shared" ca="1" si="0"/>
        <v>0.83385571312300266</v>
      </c>
      <c r="R21" s="26">
        <f t="shared" ca="1" si="0"/>
        <v>0.62973319710636466</v>
      </c>
      <c r="S21" s="26">
        <f t="shared" ca="1" si="0"/>
        <v>0.8879330292530625</v>
      </c>
      <c r="T21" s="26">
        <f t="shared" ca="1" si="0"/>
        <v>0.1611787175724585</v>
      </c>
      <c r="U21" s="26">
        <f t="shared" ca="1" si="0"/>
        <v>0.11204664902158645</v>
      </c>
      <c r="V21" s="26">
        <f t="shared" ca="1" si="0"/>
        <v>0.10392001887040458</v>
      </c>
    </row>
    <row r="22" spans="8:22" x14ac:dyDescent="0.3">
      <c r="H22" s="26">
        <f t="shared" ca="1" si="1"/>
        <v>0.50182494761421437</v>
      </c>
      <c r="I22" s="26">
        <f t="shared" ca="1" si="0"/>
        <v>0.88054616662336904</v>
      </c>
      <c r="J22" s="26">
        <f t="shared" ca="1" si="0"/>
        <v>0.65290603730143004</v>
      </c>
      <c r="K22" s="26">
        <f t="shared" ca="1" si="0"/>
        <v>0.58788838851840086</v>
      </c>
      <c r="L22" s="26">
        <f t="shared" ca="1" si="0"/>
        <v>0.29496946976220328</v>
      </c>
      <c r="M22" s="26">
        <f t="shared" ca="1" si="0"/>
        <v>0.39012106743761099</v>
      </c>
      <c r="N22" s="26">
        <f t="shared" ca="1" si="0"/>
        <v>0.20415299928091923</v>
      </c>
      <c r="O22" s="26">
        <f t="shared" ca="1" si="0"/>
        <v>0.64836815828319061</v>
      </c>
      <c r="P22" s="26">
        <f t="shared" ca="1" si="0"/>
        <v>0.17834521831942218</v>
      </c>
      <c r="Q22" s="26">
        <f t="shared" ca="1" si="0"/>
        <v>0.11339592477898808</v>
      </c>
      <c r="R22" s="26">
        <f t="shared" ca="1" si="0"/>
        <v>0.20668145809713001</v>
      </c>
      <c r="S22" s="26">
        <f t="shared" ca="1" si="0"/>
        <v>0.61352284898533371</v>
      </c>
      <c r="T22" s="26">
        <f t="shared" ca="1" si="0"/>
        <v>0.10779321094023675</v>
      </c>
      <c r="U22" s="26">
        <f t="shared" ca="1" si="0"/>
        <v>0.40736910718463248</v>
      </c>
      <c r="V22" s="26">
        <f t="shared" ca="1" si="0"/>
        <v>0.45817221156795984</v>
      </c>
    </row>
    <row r="23" spans="8:22" x14ac:dyDescent="0.3">
      <c r="H23" s="26">
        <f t="shared" ca="1" si="1"/>
        <v>0.75728545228848976</v>
      </c>
      <c r="I23" s="26">
        <f t="shared" ca="1" si="0"/>
        <v>0.36289203841588025</v>
      </c>
      <c r="J23" s="26">
        <f t="shared" ca="1" si="0"/>
        <v>0.12024413527443556</v>
      </c>
      <c r="K23" s="26">
        <f t="shared" ca="1" si="0"/>
        <v>0.17237940361670445</v>
      </c>
      <c r="L23" s="26">
        <f t="shared" ca="1" si="0"/>
        <v>0.41307667764117295</v>
      </c>
      <c r="M23" s="26">
        <f t="shared" ca="1" si="0"/>
        <v>0.24295821197240719</v>
      </c>
      <c r="N23" s="26">
        <f t="shared" ca="1" si="0"/>
        <v>0.67416387011610612</v>
      </c>
      <c r="O23" s="26">
        <f t="shared" ca="1" si="0"/>
        <v>0.50127681488592091</v>
      </c>
      <c r="P23" s="26">
        <f t="shared" ca="1" si="0"/>
        <v>0.83224637114648681</v>
      </c>
      <c r="Q23" s="26">
        <f t="shared" ca="1" si="0"/>
        <v>0.17416158424031458</v>
      </c>
      <c r="R23" s="26">
        <f t="shared" ca="1" si="0"/>
        <v>2.7902839365666843E-2</v>
      </c>
      <c r="S23" s="26">
        <f t="shared" ca="1" si="0"/>
        <v>0.69290735218197996</v>
      </c>
      <c r="T23" s="26">
        <f t="shared" ca="1" si="0"/>
        <v>0.47106977220407198</v>
      </c>
      <c r="U23" s="26">
        <f t="shared" ca="1" si="0"/>
        <v>0.51939651479178095</v>
      </c>
      <c r="V23" s="26">
        <f t="shared" ca="1" si="0"/>
        <v>0.63970644050516468</v>
      </c>
    </row>
    <row r="24" spans="8:22" x14ac:dyDescent="0.3">
      <c r="H24" s="26">
        <f t="shared" ca="1" si="1"/>
        <v>0.74942468964615172</v>
      </c>
      <c r="I24" s="26">
        <f t="shared" ca="1" si="0"/>
        <v>0.17853662619388733</v>
      </c>
      <c r="J24" s="26">
        <f t="shared" ca="1" si="0"/>
        <v>0.73214888810598566</v>
      </c>
      <c r="K24" s="26">
        <f t="shared" ca="1" si="0"/>
        <v>0.13158805181452315</v>
      </c>
      <c r="L24" s="26">
        <f t="shared" ca="1" si="0"/>
        <v>0.52347709717086799</v>
      </c>
      <c r="M24" s="26">
        <f t="shared" ca="1" si="0"/>
        <v>0.29562213377641489</v>
      </c>
      <c r="N24" s="26">
        <f t="shared" ca="1" si="0"/>
        <v>0.62984671376507395</v>
      </c>
      <c r="O24" s="26">
        <f t="shared" ca="1" si="0"/>
        <v>0.2803536639834503</v>
      </c>
      <c r="P24" s="26">
        <f t="shared" ca="1" si="0"/>
        <v>0.83111896383587491</v>
      </c>
      <c r="Q24" s="26">
        <f t="shared" ca="1" si="0"/>
        <v>0.1664478262517991</v>
      </c>
      <c r="R24" s="26">
        <f t="shared" ca="1" si="0"/>
        <v>0.64355771123099681</v>
      </c>
      <c r="S24" s="26">
        <f t="shared" ca="1" si="0"/>
        <v>0.3777654449095641</v>
      </c>
      <c r="T24" s="26">
        <f t="shared" ca="1" si="0"/>
        <v>0.82164805776015903</v>
      </c>
      <c r="U24" s="26">
        <f t="shared" ca="1" si="0"/>
        <v>0.98193559941486386</v>
      </c>
      <c r="V24" s="26">
        <f t="shared" ca="1" si="0"/>
        <v>0.80371111352065383</v>
      </c>
    </row>
    <row r="25" spans="8:22" x14ac:dyDescent="0.3">
      <c r="H25" s="26">
        <f t="shared" ca="1" si="1"/>
        <v>0.54213227576030865</v>
      </c>
      <c r="I25" s="26">
        <f t="shared" ca="1" si="0"/>
        <v>4.6782842340205133E-2</v>
      </c>
      <c r="J25" s="26">
        <f t="shared" ca="1" si="0"/>
        <v>0.23752725695170473</v>
      </c>
      <c r="K25" s="26">
        <f t="shared" ca="1" si="0"/>
        <v>0.33453713708127053</v>
      </c>
      <c r="L25" s="26">
        <f t="shared" ca="1" si="0"/>
        <v>0.41321279682070333</v>
      </c>
      <c r="M25" s="26">
        <f t="shared" ca="1" si="0"/>
        <v>0.78226812432823967</v>
      </c>
      <c r="N25" s="26">
        <f t="shared" ca="1" si="0"/>
        <v>0.11601063755289176</v>
      </c>
      <c r="O25" s="26">
        <f t="shared" ca="1" si="0"/>
        <v>0.10193546899302919</v>
      </c>
      <c r="P25" s="26">
        <f t="shared" ca="1" si="0"/>
        <v>0.24371698713177214</v>
      </c>
      <c r="Q25" s="26">
        <f t="shared" ca="1" si="0"/>
        <v>0.77623920371439492</v>
      </c>
      <c r="R25" s="26">
        <f t="shared" ca="1" si="0"/>
        <v>0.5699270889483854</v>
      </c>
      <c r="S25" s="26">
        <f t="shared" ca="1" si="0"/>
        <v>0.6441024641553641</v>
      </c>
      <c r="T25" s="26">
        <f t="shared" ca="1" si="0"/>
        <v>0.13360658092393485</v>
      </c>
      <c r="U25" s="26">
        <f t="shared" ca="1" si="0"/>
        <v>0.31393604933150066</v>
      </c>
      <c r="V25" s="26">
        <f t="shared" ca="1" si="0"/>
        <v>0.38491210111186858</v>
      </c>
    </row>
    <row r="26" spans="8:22" x14ac:dyDescent="0.3">
      <c r="H26" s="26">
        <f t="shared" ca="1" si="1"/>
        <v>0.43557635890869451</v>
      </c>
      <c r="I26" s="26">
        <f t="shared" ca="1" si="0"/>
        <v>0.33811601485649134</v>
      </c>
      <c r="J26" s="26">
        <f t="shared" ca="1" si="0"/>
        <v>0.42894368499292435</v>
      </c>
      <c r="K26" s="26">
        <f t="shared" ca="1" si="0"/>
        <v>0.29740509688775119</v>
      </c>
      <c r="L26" s="26">
        <f t="shared" ca="1" si="0"/>
        <v>0.25196730202508788</v>
      </c>
      <c r="M26" s="26">
        <f t="shared" ca="1" si="0"/>
        <v>0.92207305770710157</v>
      </c>
      <c r="N26" s="26">
        <f t="shared" ca="1" si="0"/>
        <v>0.60762112017940151</v>
      </c>
      <c r="O26" s="26">
        <f t="shared" ca="1" si="0"/>
        <v>0.84951411874491567</v>
      </c>
      <c r="P26" s="26">
        <f t="shared" ca="1" si="0"/>
        <v>7.4903176436772467E-2</v>
      </c>
      <c r="Q26" s="26">
        <f t="shared" ca="1" si="0"/>
        <v>0.48875884938448233</v>
      </c>
      <c r="R26" s="26">
        <f t="shared" ca="1" si="0"/>
        <v>0.18844515912017989</v>
      </c>
      <c r="S26" s="26">
        <f t="shared" ca="1" si="0"/>
        <v>0.23592810114766083</v>
      </c>
      <c r="T26" s="26">
        <f t="shared" ca="1" si="0"/>
        <v>4.8527382141785202E-2</v>
      </c>
      <c r="U26" s="26">
        <f t="shared" ca="1" si="0"/>
        <v>0.56820779765379559</v>
      </c>
      <c r="V26" s="26">
        <f t="shared" ca="1" si="0"/>
        <v>0.87401153636230711</v>
      </c>
    </row>
    <row r="27" spans="8:22" x14ac:dyDescent="0.3">
      <c r="H27" s="26">
        <f t="shared" ca="1" si="1"/>
        <v>0.28246812218128192</v>
      </c>
      <c r="I27" s="26">
        <f t="shared" ca="1" si="0"/>
        <v>0.89053029250501758</v>
      </c>
      <c r="J27" s="26">
        <f t="shared" ca="1" si="0"/>
        <v>0.73530247043233865</v>
      </c>
      <c r="K27" s="26">
        <f t="shared" ca="1" si="0"/>
        <v>0.44416580175198661</v>
      </c>
      <c r="L27" s="26">
        <f t="shared" ca="1" si="0"/>
        <v>3.0227140294590282E-2</v>
      </c>
      <c r="M27" s="26">
        <f t="shared" ca="1" si="0"/>
        <v>0.6058755240894983</v>
      </c>
      <c r="N27" s="26">
        <f t="shared" ca="1" si="0"/>
        <v>0.26309123048655647</v>
      </c>
      <c r="O27" s="26">
        <f t="shared" ca="1" si="0"/>
        <v>0.45347732458651946</v>
      </c>
      <c r="P27" s="26">
        <f t="shared" ca="1" si="0"/>
        <v>0.24943488876961106</v>
      </c>
      <c r="Q27" s="26">
        <f t="shared" ca="1" si="0"/>
        <v>0.87928438218933536</v>
      </c>
      <c r="R27" s="26">
        <f t="shared" ca="1" si="0"/>
        <v>0.67671330112571926</v>
      </c>
      <c r="S27" s="26">
        <f t="shared" ca="1" si="0"/>
        <v>0.24515407265480771</v>
      </c>
      <c r="T27" s="26">
        <f t="shared" ca="1" si="0"/>
        <v>0.56532442056150134</v>
      </c>
      <c r="U27" s="26">
        <f t="shared" ca="1" si="0"/>
        <v>0.45978914804608606</v>
      </c>
      <c r="V27" s="26">
        <f t="shared" ca="1" si="0"/>
        <v>0.84015518052417859</v>
      </c>
    </row>
    <row r="28" spans="8:22" x14ac:dyDescent="0.3">
      <c r="H28" s="26">
        <f t="shared" ca="1" si="1"/>
        <v>0.62019798627294909</v>
      </c>
      <c r="I28" s="26">
        <f t="shared" ca="1" si="0"/>
        <v>0.48651793925308262</v>
      </c>
      <c r="J28" s="26">
        <f t="shared" ca="1" si="0"/>
        <v>0.17999234415525389</v>
      </c>
      <c r="K28" s="26">
        <f t="shared" ca="1" si="0"/>
        <v>0.85206551107449024</v>
      </c>
      <c r="L28" s="26">
        <f t="shared" ca="1" si="0"/>
        <v>0.60524283682892477</v>
      </c>
      <c r="M28" s="26">
        <f t="shared" ca="1" si="0"/>
        <v>0.14078795147009004</v>
      </c>
      <c r="N28" s="26">
        <f t="shared" ca="1" si="0"/>
        <v>0.42284152662198293</v>
      </c>
      <c r="O28" s="26">
        <f t="shared" ca="1" si="0"/>
        <v>0.24685809236068013</v>
      </c>
      <c r="P28" s="26">
        <f t="shared" ca="1" si="0"/>
        <v>0.18334607646064416</v>
      </c>
      <c r="Q28" s="26">
        <f t="shared" ca="1" si="0"/>
        <v>0.78009323715276246</v>
      </c>
      <c r="R28" s="26">
        <f t="shared" ca="1" si="0"/>
        <v>0.94128456312572284</v>
      </c>
      <c r="S28" s="26">
        <f t="shared" ca="1" si="0"/>
        <v>0.16405552720612382</v>
      </c>
      <c r="T28" s="26">
        <f t="shared" ca="1" si="0"/>
        <v>0.73661304574741471</v>
      </c>
      <c r="U28" s="26">
        <f t="shared" ca="1" si="0"/>
        <v>0.24200072424705232</v>
      </c>
      <c r="V28" s="26">
        <f t="shared" ca="1" si="0"/>
        <v>0.46908277874150417</v>
      </c>
    </row>
    <row r="29" spans="8:22" x14ac:dyDescent="0.3">
      <c r="H29" s="26">
        <f t="shared" ca="1" si="1"/>
        <v>0.73935314125539886</v>
      </c>
      <c r="I29" s="26">
        <f t="shared" ca="1" si="0"/>
        <v>0.11607063762033243</v>
      </c>
      <c r="J29" s="26">
        <f t="shared" ca="1" si="0"/>
        <v>0.92232621651732649</v>
      </c>
      <c r="K29" s="26">
        <f t="shared" ca="1" si="0"/>
        <v>0.8991572439450316</v>
      </c>
      <c r="L29" s="26">
        <f t="shared" ca="1" si="0"/>
        <v>0.33129458754787788</v>
      </c>
      <c r="M29" s="26">
        <f t="shared" ca="1" si="0"/>
        <v>0.25634483350149928</v>
      </c>
      <c r="N29" s="26">
        <f t="shared" ca="1" si="0"/>
        <v>0.53259818992343755</v>
      </c>
      <c r="O29" s="26">
        <f t="shared" ca="1" si="0"/>
        <v>0.43837585969709014</v>
      </c>
      <c r="P29" s="26">
        <f t="shared" ca="1" si="0"/>
        <v>0.86870856154505083</v>
      </c>
      <c r="Q29" s="26">
        <f t="shared" ca="1" si="0"/>
        <v>0.33941176596994282</v>
      </c>
      <c r="R29" s="26">
        <f t="shared" ca="1" si="0"/>
        <v>0.24626088478618491</v>
      </c>
      <c r="S29" s="26">
        <f t="shared" ca="1" si="0"/>
        <v>7.0903923303250904E-2</v>
      </c>
      <c r="T29" s="26">
        <f t="shared" ca="1" si="0"/>
        <v>0.98207814689004302</v>
      </c>
      <c r="U29" s="26">
        <f t="shared" ca="1" si="0"/>
        <v>0.70629433409762354</v>
      </c>
      <c r="V29" s="26">
        <f t="shared" ca="1" si="0"/>
        <v>0.35990940351116807</v>
      </c>
    </row>
    <row r="30" spans="8:22" x14ac:dyDescent="0.3">
      <c r="H30" s="26">
        <f t="shared" ca="1" si="1"/>
        <v>0.98761361359243782</v>
      </c>
      <c r="I30" s="26">
        <f t="shared" ca="1" si="0"/>
        <v>0.96960480543563554</v>
      </c>
      <c r="J30" s="26">
        <f t="shared" ca="1" si="0"/>
        <v>0.77109149152741352</v>
      </c>
      <c r="K30" s="26">
        <f t="shared" ca="1" si="0"/>
        <v>6.9370242910313462E-2</v>
      </c>
      <c r="L30" s="26">
        <f t="shared" ca="1" si="0"/>
        <v>0.74778257635128442</v>
      </c>
      <c r="M30" s="26">
        <f t="shared" ca="1" si="0"/>
        <v>0.95771553682620003</v>
      </c>
      <c r="N30" s="26">
        <f t="shared" ca="1" si="0"/>
        <v>0.97855992135468628</v>
      </c>
      <c r="O30" s="26">
        <f t="shared" ca="1" si="0"/>
        <v>0.24973849405985227</v>
      </c>
      <c r="P30" s="26">
        <f t="shared" ca="1" si="0"/>
        <v>2.9746240983428152E-3</v>
      </c>
      <c r="Q30" s="26">
        <f t="shared" ca="1" si="0"/>
        <v>4.599361868159324E-2</v>
      </c>
      <c r="R30" s="26">
        <f t="shared" ca="1" si="0"/>
        <v>0.85403305890215486</v>
      </c>
      <c r="S30" s="26">
        <f t="shared" ca="1" si="0"/>
        <v>0.42388810210224559</v>
      </c>
      <c r="T30" s="26">
        <f t="shared" ca="1" si="0"/>
        <v>0.17116227298138376</v>
      </c>
      <c r="U30" s="26">
        <f t="shared" ca="1" si="0"/>
        <v>4.6917110141052154E-2</v>
      </c>
      <c r="V30" s="26">
        <f t="shared" ca="1" si="0"/>
        <v>0.4435896608035016</v>
      </c>
    </row>
    <row r="31" spans="8:22" x14ac:dyDescent="0.3">
      <c r="H31" s="26">
        <f t="shared" ca="1" si="1"/>
        <v>0.28211965492284086</v>
      </c>
      <c r="I31" s="26">
        <f t="shared" ca="1" si="0"/>
        <v>0.57303194279147207</v>
      </c>
      <c r="J31" s="26">
        <f t="shared" ca="1" si="0"/>
        <v>0.77993368603930013</v>
      </c>
      <c r="K31" s="26">
        <f t="shared" ca="1" si="0"/>
        <v>0.26403837412411346</v>
      </c>
      <c r="L31" s="26">
        <f t="shared" ca="1" si="0"/>
        <v>6.9152101794708321E-2</v>
      </c>
      <c r="M31" s="26">
        <f t="shared" ca="1" si="0"/>
        <v>0.21102908545302512</v>
      </c>
      <c r="N31" s="26">
        <f t="shared" ca="1" si="0"/>
        <v>0.4117427095459355</v>
      </c>
      <c r="O31" s="26">
        <f t="shared" ca="1" si="0"/>
        <v>0.78264032205880918</v>
      </c>
      <c r="P31" s="26">
        <f t="shared" ca="1" si="0"/>
        <v>3.7829445462718714E-2</v>
      </c>
      <c r="Q31" s="26">
        <f t="shared" ca="1" si="0"/>
        <v>0.86273024859727987</v>
      </c>
      <c r="R31" s="26">
        <f t="shared" ca="1" si="0"/>
        <v>0.2777588062381493</v>
      </c>
      <c r="S31" s="26">
        <f t="shared" ca="1" si="0"/>
        <v>0.25948175718321465</v>
      </c>
      <c r="T31" s="26">
        <f t="shared" ca="1" si="0"/>
        <v>0.59406030970969237</v>
      </c>
      <c r="U31" s="26">
        <f t="shared" ca="1" si="0"/>
        <v>0.1509231722675497</v>
      </c>
      <c r="V31" s="26">
        <f t="shared" ca="1" si="0"/>
        <v>0.52112242748284776</v>
      </c>
    </row>
    <row r="32" spans="8:22" x14ac:dyDescent="0.3">
      <c r="H32" s="26">
        <f t="shared" ca="1" si="1"/>
        <v>0.29411988304653558</v>
      </c>
      <c r="I32" s="26">
        <f t="shared" ca="1" si="0"/>
        <v>0.89045688164562264</v>
      </c>
      <c r="J32" s="26">
        <f t="shared" ca="1" si="0"/>
        <v>0.85489389251961934</v>
      </c>
      <c r="K32" s="26">
        <f t="shared" ca="1" si="0"/>
        <v>0.32233293795817475</v>
      </c>
      <c r="L32" s="26">
        <f t="shared" ca="1" si="0"/>
        <v>0.7489096244030875</v>
      </c>
      <c r="M32" s="26">
        <f t="shared" ca="1" si="0"/>
        <v>0.98277048948151158</v>
      </c>
      <c r="N32" s="26">
        <f t="shared" ca="1" si="0"/>
        <v>0.24282818414245289</v>
      </c>
      <c r="O32" s="26">
        <f t="shared" ca="1" si="0"/>
        <v>0.73395570602910354</v>
      </c>
      <c r="P32" s="26">
        <f t="shared" ca="1" si="0"/>
        <v>0.95726546235047116</v>
      </c>
      <c r="Q32" s="26">
        <f t="shared" ca="1" si="0"/>
        <v>5.3507166630194836E-2</v>
      </c>
      <c r="R32" s="26">
        <f t="shared" ca="1" si="0"/>
        <v>0.24966269701599286</v>
      </c>
      <c r="S32" s="26">
        <f t="shared" ca="1" si="0"/>
        <v>0.75744114614926239</v>
      </c>
      <c r="T32" s="26">
        <f t="shared" ca="1" si="0"/>
        <v>5.5768398926917651E-2</v>
      </c>
      <c r="U32" s="26">
        <f t="shared" ca="1" si="0"/>
        <v>0.21372500569525588</v>
      </c>
      <c r="V32" s="26">
        <f t="shared" ca="1" si="0"/>
        <v>0.76235367378686225</v>
      </c>
    </row>
    <row r="33" spans="8:22" x14ac:dyDescent="0.3">
      <c r="H33" s="26">
        <f t="shared" ca="1" si="1"/>
        <v>0.81116026896994498</v>
      </c>
      <c r="I33" s="26">
        <f t="shared" ca="1" si="1"/>
        <v>0.10586945458199026</v>
      </c>
      <c r="J33" s="26">
        <f t="shared" ca="1" si="1"/>
        <v>8.5923840759528969E-2</v>
      </c>
      <c r="K33" s="26">
        <f t="shared" ca="1" si="1"/>
        <v>0.71214080845268524</v>
      </c>
      <c r="L33" s="26">
        <f t="shared" ca="1" si="1"/>
        <v>0.10132536185648777</v>
      </c>
      <c r="M33" s="26">
        <f t="shared" ca="1" si="1"/>
        <v>0.38272867008951561</v>
      </c>
      <c r="N33" s="26">
        <f t="shared" ca="1" si="1"/>
        <v>0.43448120254694855</v>
      </c>
      <c r="O33" s="26">
        <f t="shared" ca="1" si="1"/>
        <v>7.9167145826716356E-2</v>
      </c>
      <c r="P33" s="26">
        <f t="shared" ca="1" si="1"/>
        <v>0.64775898951945343</v>
      </c>
      <c r="Q33" s="26">
        <f t="shared" ca="1" si="1"/>
        <v>0.14677170983944221</v>
      </c>
      <c r="R33" s="26">
        <f t="shared" ca="1" si="1"/>
        <v>0.49171625151359843</v>
      </c>
      <c r="S33" s="26">
        <f t="shared" ca="1" si="1"/>
        <v>0.41575965818533023</v>
      </c>
      <c r="T33" s="26">
        <f t="shared" ca="1" si="1"/>
        <v>0.7740289721250857</v>
      </c>
      <c r="U33" s="26">
        <f t="shared" ca="1" si="1"/>
        <v>0.46611067890464974</v>
      </c>
      <c r="V33" s="26">
        <f t="shared" ca="1" si="1"/>
        <v>6.3358103657103926E-2</v>
      </c>
    </row>
    <row r="34" spans="8:22" x14ac:dyDescent="0.3">
      <c r="H34" s="26">
        <f t="shared" ca="1" si="1"/>
        <v>0.68861774356406169</v>
      </c>
      <c r="I34" s="26">
        <f t="shared" ca="1" si="1"/>
        <v>0.44678733832122464</v>
      </c>
      <c r="J34" s="26">
        <f t="shared" ca="1" si="1"/>
        <v>0.82845192928876588</v>
      </c>
      <c r="K34" s="26">
        <f t="shared" ca="1" si="1"/>
        <v>0.27722806483351103</v>
      </c>
      <c r="L34" s="26">
        <f t="shared" ca="1" si="1"/>
        <v>0.63871022754126017</v>
      </c>
      <c r="M34" s="26">
        <f t="shared" ca="1" si="1"/>
        <v>0.65811783133196333</v>
      </c>
      <c r="N34" s="26">
        <f t="shared" ca="1" si="1"/>
        <v>0.31225112144364087</v>
      </c>
      <c r="O34" s="26">
        <f t="shared" ca="1" si="1"/>
        <v>0.29883066565683791</v>
      </c>
      <c r="P34" s="26">
        <f t="shared" ca="1" si="1"/>
        <v>0.74188198368378344</v>
      </c>
      <c r="Q34" s="26">
        <f t="shared" ca="1" si="1"/>
        <v>0.81391797667681287</v>
      </c>
      <c r="R34" s="26">
        <f t="shared" ca="1" si="1"/>
        <v>0.68364562458811795</v>
      </c>
      <c r="S34" s="26">
        <f t="shared" ca="1" si="1"/>
        <v>0.99321573946847197</v>
      </c>
      <c r="T34" s="26">
        <f t="shared" ca="1" si="1"/>
        <v>0.70607453035831713</v>
      </c>
      <c r="U34" s="26">
        <f t="shared" ca="1" si="1"/>
        <v>0.57675527737032506</v>
      </c>
      <c r="V34" s="26">
        <f t="shared" ca="1" si="1"/>
        <v>0.85891183362892409</v>
      </c>
    </row>
    <row r="35" spans="8:22" x14ac:dyDescent="0.3">
      <c r="H35" s="26">
        <f t="shared" ca="1" si="1"/>
        <v>0.26546431858727271</v>
      </c>
      <c r="I35" s="26">
        <f t="shared" ca="1" si="1"/>
        <v>0.47522483775393753</v>
      </c>
      <c r="J35" s="26">
        <f t="shared" ca="1" si="1"/>
        <v>0.99924707249453426</v>
      </c>
      <c r="K35" s="26">
        <f t="shared" ca="1" si="1"/>
        <v>0.91201293674805795</v>
      </c>
      <c r="L35" s="26">
        <f t="shared" ca="1" si="1"/>
        <v>0.96079029942276273</v>
      </c>
      <c r="M35" s="26">
        <f t="shared" ca="1" si="1"/>
        <v>0.80037232282704696</v>
      </c>
      <c r="N35" s="26">
        <f t="shared" ca="1" si="1"/>
        <v>0.4874663790576923</v>
      </c>
      <c r="O35" s="26">
        <f t="shared" ca="1" si="1"/>
        <v>0.25682413044073937</v>
      </c>
      <c r="P35" s="26">
        <f t="shared" ca="1" si="1"/>
        <v>0.88803735596588707</v>
      </c>
      <c r="Q35" s="26">
        <f t="shared" ca="1" si="1"/>
        <v>0.86063598096181804</v>
      </c>
      <c r="R35" s="26">
        <f t="shared" ca="1" si="1"/>
        <v>0.57283899124860493</v>
      </c>
      <c r="S35" s="26">
        <f t="shared" ca="1" si="1"/>
        <v>0.11302163992606573</v>
      </c>
      <c r="T35" s="26">
        <f t="shared" ca="1" si="1"/>
        <v>0.37353430649828545</v>
      </c>
      <c r="U35" s="26">
        <f t="shared" ca="1" si="1"/>
        <v>0.51947053998853143</v>
      </c>
      <c r="V35" s="26">
        <f t="shared" ca="1" si="1"/>
        <v>0.7595517776970746</v>
      </c>
    </row>
    <row r="36" spans="8:22" x14ac:dyDescent="0.3">
      <c r="H36" s="26">
        <f t="shared" ca="1" si="1"/>
        <v>0.39238270080544069</v>
      </c>
      <c r="I36" s="26">
        <f t="shared" ca="1" si="1"/>
        <v>0.76516717024538106</v>
      </c>
      <c r="J36" s="26">
        <f t="shared" ca="1" si="1"/>
        <v>9.5720273070159512E-2</v>
      </c>
      <c r="K36" s="26">
        <f t="shared" ca="1" si="1"/>
        <v>0.85094296279201009</v>
      </c>
      <c r="L36" s="26">
        <f t="shared" ca="1" si="1"/>
        <v>0.49497751041127203</v>
      </c>
      <c r="M36" s="26">
        <f t="shared" ca="1" si="1"/>
        <v>0.14869538781204017</v>
      </c>
      <c r="N36" s="26">
        <f t="shared" ca="1" si="1"/>
        <v>0.98167482988773902</v>
      </c>
      <c r="O36" s="26">
        <f t="shared" ca="1" si="1"/>
        <v>0.47495774593522933</v>
      </c>
      <c r="P36" s="26">
        <f t="shared" ca="1" si="1"/>
        <v>0.37242718455669299</v>
      </c>
      <c r="Q36" s="26">
        <f t="shared" ca="1" si="1"/>
        <v>0.48775729095309595</v>
      </c>
      <c r="R36" s="26">
        <f t="shared" ca="1" si="1"/>
        <v>0.81070733253967953</v>
      </c>
      <c r="S36" s="26">
        <f t="shared" ca="1" si="1"/>
        <v>0.80154762865843066</v>
      </c>
      <c r="T36" s="26">
        <f t="shared" ca="1" si="1"/>
        <v>0.81968193394380662</v>
      </c>
      <c r="U36" s="26">
        <f t="shared" ca="1" si="1"/>
        <v>0.63771336791713873</v>
      </c>
      <c r="V36" s="26">
        <f t="shared" ca="1" si="1"/>
        <v>0.58309991206154754</v>
      </c>
    </row>
    <row r="37" spans="8:22" x14ac:dyDescent="0.3">
      <c r="H37" s="26">
        <f t="shared" ca="1" si="1"/>
        <v>0.99907132107011165</v>
      </c>
      <c r="I37" s="26">
        <f t="shared" ca="1" si="1"/>
        <v>0.27784614125090101</v>
      </c>
      <c r="J37" s="26">
        <f t="shared" ca="1" si="1"/>
        <v>3.3380125306196717E-2</v>
      </c>
      <c r="K37" s="26">
        <f t="shared" ca="1" si="1"/>
        <v>0.79733378938268085</v>
      </c>
      <c r="L37" s="26">
        <f t="shared" ca="1" si="1"/>
        <v>0.28540937233229058</v>
      </c>
      <c r="M37" s="26">
        <f t="shared" ca="1" si="1"/>
        <v>0.75184958040980077</v>
      </c>
      <c r="N37" s="26">
        <f t="shared" ca="1" si="1"/>
        <v>0.76448611618337137</v>
      </c>
      <c r="O37" s="26">
        <f t="shared" ca="1" si="1"/>
        <v>0.89826336311005817</v>
      </c>
      <c r="P37" s="26">
        <f t="shared" ca="1" si="1"/>
        <v>0.34867847666224649</v>
      </c>
      <c r="Q37" s="26">
        <f t="shared" ca="1" si="1"/>
        <v>0.62408032656468637</v>
      </c>
      <c r="R37" s="26">
        <f t="shared" ca="1" si="1"/>
        <v>0.88412031836312166</v>
      </c>
      <c r="S37" s="26">
        <f t="shared" ca="1" si="1"/>
        <v>0.76732523185009094</v>
      </c>
      <c r="T37" s="26">
        <f t="shared" ca="1" si="1"/>
        <v>0.63646871144331718</v>
      </c>
      <c r="U37" s="26">
        <f t="shared" ca="1" si="1"/>
        <v>0.78621139026716569</v>
      </c>
      <c r="V37" s="26">
        <f t="shared" ca="1" si="1"/>
        <v>0.77491641795418775</v>
      </c>
    </row>
    <row r="38" spans="8:22" x14ac:dyDescent="0.3">
      <c r="H38" s="26">
        <f t="shared" ca="1" si="1"/>
        <v>0.79468948581403509</v>
      </c>
      <c r="I38" s="26">
        <f t="shared" ca="1" si="1"/>
        <v>0.31330035375036758</v>
      </c>
      <c r="J38" s="26">
        <f t="shared" ca="1" si="1"/>
        <v>0.96653501976729461</v>
      </c>
      <c r="K38" s="26">
        <f t="shared" ca="1" si="1"/>
        <v>0.99622836496391676</v>
      </c>
      <c r="L38" s="26">
        <f t="shared" ca="1" si="1"/>
        <v>0.57274704894869155</v>
      </c>
      <c r="M38" s="26">
        <f t="shared" ca="1" si="1"/>
        <v>0.40199304314191953</v>
      </c>
      <c r="N38" s="26">
        <f t="shared" ca="1" si="1"/>
        <v>0.15475736485277858</v>
      </c>
      <c r="O38" s="26">
        <f t="shared" ca="1" si="1"/>
        <v>0.51585238855734894</v>
      </c>
      <c r="P38" s="26">
        <f t="shared" ca="1" si="1"/>
        <v>0.44801576950788169</v>
      </c>
      <c r="Q38" s="26">
        <f t="shared" ca="1" si="1"/>
        <v>0.31981469106364135</v>
      </c>
      <c r="R38" s="26">
        <f t="shared" ca="1" si="1"/>
        <v>0.21035319064233626</v>
      </c>
      <c r="S38" s="26">
        <f t="shared" ca="1" si="1"/>
        <v>0.71146428375789683</v>
      </c>
      <c r="T38" s="26">
        <f t="shared" ca="1" si="1"/>
        <v>0.10326018442990659</v>
      </c>
      <c r="U38" s="26">
        <f t="shared" ca="1" si="1"/>
        <v>6.8345803884542922E-2</v>
      </c>
      <c r="V38" s="26">
        <f t="shared" ca="1" si="1"/>
        <v>0.15765167355091547</v>
      </c>
    </row>
    <row r="39" spans="8:22" x14ac:dyDescent="0.3">
      <c r="H39" s="26">
        <f t="shared" ca="1" si="1"/>
        <v>0.8188933871320988</v>
      </c>
      <c r="I39" s="26">
        <f t="shared" ca="1" si="1"/>
        <v>0.45724511361163933</v>
      </c>
      <c r="J39" s="26">
        <f t="shared" ca="1" si="1"/>
        <v>2.0269463521490283E-2</v>
      </c>
      <c r="K39" s="26">
        <f t="shared" ca="1" si="1"/>
        <v>0.53378114290230239</v>
      </c>
      <c r="L39" s="26">
        <f t="shared" ca="1" si="1"/>
        <v>0.81861160348451611</v>
      </c>
      <c r="M39" s="26">
        <f t="shared" ca="1" si="1"/>
        <v>0.90693178949358144</v>
      </c>
      <c r="N39" s="26">
        <f t="shared" ca="1" si="1"/>
        <v>0.79650855856769165</v>
      </c>
      <c r="O39" s="26">
        <f t="shared" ca="1" si="1"/>
        <v>0.55119461821672178</v>
      </c>
      <c r="P39" s="26">
        <f t="shared" ca="1" si="1"/>
        <v>0.74960633783996133</v>
      </c>
      <c r="Q39" s="26">
        <f t="shared" ca="1" si="1"/>
        <v>0.19337559159504902</v>
      </c>
      <c r="R39" s="26">
        <f t="shared" ca="1" si="1"/>
        <v>0.63250822656421446</v>
      </c>
      <c r="S39" s="26">
        <f t="shared" ca="1" si="1"/>
        <v>0.36174306329269734</v>
      </c>
      <c r="T39" s="26">
        <f t="shared" ca="1" si="1"/>
        <v>0.74940737372484512</v>
      </c>
      <c r="U39" s="26">
        <f t="shared" ca="1" si="1"/>
        <v>0.62956673155158938</v>
      </c>
      <c r="V39" s="26">
        <f t="shared" ca="1" si="1"/>
        <v>0.82317037503593937</v>
      </c>
    </row>
    <row r="40" spans="8:22" x14ac:dyDescent="0.3">
      <c r="H40" s="26">
        <f t="shared" ca="1" si="1"/>
        <v>0.88951222029087085</v>
      </c>
      <c r="I40" s="26">
        <f t="shared" ca="1" si="1"/>
        <v>0.28231904184603795</v>
      </c>
      <c r="J40" s="26">
        <f t="shared" ca="1" si="1"/>
        <v>0.78726670207818761</v>
      </c>
      <c r="K40" s="26">
        <f t="shared" ca="1" si="1"/>
        <v>0.28588267934831535</v>
      </c>
      <c r="L40" s="26">
        <f t="shared" ca="1" si="1"/>
        <v>0.44221077351683702</v>
      </c>
      <c r="M40" s="26">
        <f t="shared" ca="1" si="1"/>
        <v>0.84836858346439725</v>
      </c>
      <c r="N40" s="26">
        <f t="shared" ca="1" si="1"/>
        <v>0.2209146857545482</v>
      </c>
      <c r="O40" s="26">
        <f t="shared" ca="1" si="1"/>
        <v>5.4167069747855678E-2</v>
      </c>
      <c r="P40" s="26">
        <f t="shared" ca="1" si="1"/>
        <v>0.5140213918169807</v>
      </c>
      <c r="Q40" s="26">
        <f t="shared" ca="1" si="1"/>
        <v>0.58144516841569227</v>
      </c>
      <c r="R40" s="26">
        <f t="shared" ca="1" si="1"/>
        <v>0.22286666094873064</v>
      </c>
      <c r="S40" s="26">
        <f t="shared" ca="1" si="1"/>
        <v>0.88145100188295267</v>
      </c>
      <c r="T40" s="26">
        <f t="shared" ca="1" si="1"/>
        <v>6.2733701872459191E-2</v>
      </c>
      <c r="U40" s="26">
        <f t="shared" ca="1" si="1"/>
        <v>0.17403996886615802</v>
      </c>
      <c r="V40" s="26">
        <f t="shared" ca="1" si="1"/>
        <v>0.28349345528612702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F04AB-A97D-4628-8E24-18391DB19946}">
  <sheetPr codeName="Sheet2"/>
  <dimension ref="A1:B203"/>
  <sheetViews>
    <sheetView topLeftCell="A13" workbookViewId="0">
      <selection activeCell="E26" sqref="E26"/>
    </sheetView>
  </sheetViews>
  <sheetFormatPr defaultRowHeight="14.4" x14ac:dyDescent="0.3"/>
  <cols>
    <col min="1" max="1" width="35" bestFit="1" customWidth="1"/>
    <col min="2" max="2" width="12.88671875" bestFit="1" customWidth="1"/>
  </cols>
  <sheetData>
    <row r="1" spans="1:1" x14ac:dyDescent="0.3">
      <c r="A1" t="s">
        <v>2966</v>
      </c>
    </row>
    <row r="2" spans="1:1" x14ac:dyDescent="0.3">
      <c r="A2" t="s">
        <v>2967</v>
      </c>
    </row>
    <row r="3" spans="1:1" x14ac:dyDescent="0.3">
      <c r="A3" t="s">
        <v>2967</v>
      </c>
    </row>
    <row r="4" spans="1:1" x14ac:dyDescent="0.3">
      <c r="A4" t="s">
        <v>2968</v>
      </c>
    </row>
    <row r="5" spans="1:1" x14ac:dyDescent="0.3">
      <c r="A5" t="s">
        <v>2969</v>
      </c>
    </row>
    <row r="7" spans="1:1" x14ac:dyDescent="0.3">
      <c r="A7" t="s">
        <v>2970</v>
      </c>
    </row>
    <row r="8" spans="1:1" x14ac:dyDescent="0.3">
      <c r="A8" t="s">
        <v>2971</v>
      </c>
    </row>
    <row r="9" spans="1:1" x14ac:dyDescent="0.3">
      <c r="A9" t="s">
        <v>2972</v>
      </c>
    </row>
    <row r="10" spans="1:1" x14ac:dyDescent="0.3">
      <c r="A10" t="s">
        <v>2973</v>
      </c>
    </row>
    <row r="11" spans="1:1" x14ac:dyDescent="0.3">
      <c r="A11" t="s">
        <v>2974</v>
      </c>
    </row>
    <row r="12" spans="1:1" x14ac:dyDescent="0.3">
      <c r="A12" t="s">
        <v>2975</v>
      </c>
    </row>
    <row r="13" spans="1:1" x14ac:dyDescent="0.3">
      <c r="A13" t="s">
        <v>2976</v>
      </c>
    </row>
    <row r="15" spans="1:1" x14ac:dyDescent="0.3">
      <c r="A15" t="s">
        <v>2977</v>
      </c>
    </row>
    <row r="17" spans="1:1" x14ac:dyDescent="0.3">
      <c r="A17" t="s">
        <v>2978</v>
      </c>
    </row>
    <row r="18" spans="1:1" x14ac:dyDescent="0.3">
      <c r="A18" t="s">
        <v>2979</v>
      </c>
    </row>
    <row r="19" spans="1:1" x14ac:dyDescent="0.3">
      <c r="A19" t="s">
        <v>2980</v>
      </c>
    </row>
    <row r="20" spans="1:1" x14ac:dyDescent="0.3">
      <c r="A20" t="s">
        <v>2981</v>
      </c>
    </row>
    <row r="21" spans="1:1" x14ac:dyDescent="0.3">
      <c r="A21" t="s">
        <v>2982</v>
      </c>
    </row>
    <row r="23" spans="1:1" x14ac:dyDescent="0.3">
      <c r="A23" t="s">
        <v>2983</v>
      </c>
    </row>
    <row r="24" spans="1:1" x14ac:dyDescent="0.3">
      <c r="A24" t="s">
        <v>2984</v>
      </c>
    </row>
    <row r="25" spans="1:1" x14ac:dyDescent="0.3">
      <c r="A25" t="s">
        <v>2985</v>
      </c>
    </row>
    <row r="26" spans="1:1" x14ac:dyDescent="0.3">
      <c r="A26" t="s">
        <v>2986</v>
      </c>
    </row>
    <row r="28" spans="1:1" x14ac:dyDescent="0.3">
      <c r="A28" t="s">
        <v>2987</v>
      </c>
    </row>
    <row r="29" spans="1:1" x14ac:dyDescent="0.3">
      <c r="A29" t="s">
        <v>2988</v>
      </c>
    </row>
    <row r="31" spans="1:1" x14ac:dyDescent="0.3">
      <c r="A31" t="s">
        <v>2989</v>
      </c>
    </row>
    <row r="33" spans="1:1" x14ac:dyDescent="0.3">
      <c r="A33" t="s">
        <v>2987</v>
      </c>
    </row>
    <row r="34" spans="1:1" x14ac:dyDescent="0.3">
      <c r="A34" t="s">
        <v>2988</v>
      </c>
    </row>
    <row r="36" spans="1:1" x14ac:dyDescent="0.3">
      <c r="A36" t="s">
        <v>2990</v>
      </c>
    </row>
    <row r="38" spans="1:1" x14ac:dyDescent="0.3">
      <c r="A38" t="s">
        <v>2991</v>
      </c>
    </row>
    <row r="39" spans="1:1" x14ac:dyDescent="0.3">
      <c r="A39" t="s">
        <v>2992</v>
      </c>
    </row>
    <row r="41" spans="1:1" x14ac:dyDescent="0.3">
      <c r="A41" t="s">
        <v>2971</v>
      </c>
    </row>
    <row r="43" spans="1:1" x14ac:dyDescent="0.3">
      <c r="A43" t="s">
        <v>2968</v>
      </c>
    </row>
    <row r="45" spans="1:1" x14ac:dyDescent="0.3">
      <c r="A45" t="s">
        <v>2993</v>
      </c>
    </row>
    <row r="46" spans="1:1" x14ac:dyDescent="0.3">
      <c r="A46" t="s">
        <v>2994</v>
      </c>
    </row>
    <row r="48" spans="1:1" x14ac:dyDescent="0.3">
      <c r="A48" t="s">
        <v>2995</v>
      </c>
    </row>
    <row r="49" spans="1:1" x14ac:dyDescent="0.3">
      <c r="A49" t="s">
        <v>2996</v>
      </c>
    </row>
    <row r="50" spans="1:1" x14ac:dyDescent="0.3">
      <c r="A50" t="s">
        <v>2997</v>
      </c>
    </row>
    <row r="52" spans="1:1" x14ac:dyDescent="0.3">
      <c r="A52" t="s">
        <v>2998</v>
      </c>
    </row>
    <row r="54" spans="1:1" x14ac:dyDescent="0.3">
      <c r="A54" t="s">
        <v>2999</v>
      </c>
    </row>
    <row r="56" spans="1:1" x14ac:dyDescent="0.3">
      <c r="A56" t="s">
        <v>3000</v>
      </c>
    </row>
    <row r="59" spans="1:1" x14ac:dyDescent="0.3">
      <c r="A59" t="s">
        <v>3001</v>
      </c>
    </row>
    <row r="60" spans="1:1" x14ac:dyDescent="0.3">
      <c r="A60" t="s">
        <v>3001</v>
      </c>
    </row>
    <row r="62" spans="1:1" x14ac:dyDescent="0.3">
      <c r="A62" t="s">
        <v>3002</v>
      </c>
    </row>
    <row r="64" spans="1:1" x14ac:dyDescent="0.3">
      <c r="A64" t="s">
        <v>3003</v>
      </c>
    </row>
    <row r="66" spans="1:1" x14ac:dyDescent="0.3">
      <c r="A66" t="s">
        <v>3004</v>
      </c>
    </row>
    <row r="68" spans="1:1" x14ac:dyDescent="0.3">
      <c r="A68" t="s">
        <v>3005</v>
      </c>
    </row>
    <row r="69" spans="1:1" x14ac:dyDescent="0.3">
      <c r="A69" t="s">
        <v>2992</v>
      </c>
    </row>
    <row r="71" spans="1:1" x14ac:dyDescent="0.3">
      <c r="A71" t="s">
        <v>3006</v>
      </c>
    </row>
    <row r="73" spans="1:1" x14ac:dyDescent="0.3">
      <c r="A73" t="s">
        <v>3007</v>
      </c>
    </row>
    <row r="74" spans="1:1" x14ac:dyDescent="0.3">
      <c r="A74" t="s">
        <v>3008</v>
      </c>
    </row>
    <row r="75" spans="1:1" x14ac:dyDescent="0.3">
      <c r="A75" t="s">
        <v>3009</v>
      </c>
    </row>
    <row r="77" spans="1:1" x14ac:dyDescent="0.3">
      <c r="A77" t="s">
        <v>3010</v>
      </c>
    </row>
    <row r="78" spans="1:1" x14ac:dyDescent="0.3">
      <c r="A78" t="s">
        <v>3010</v>
      </c>
    </row>
    <row r="79" spans="1:1" x14ac:dyDescent="0.3">
      <c r="A79" t="s">
        <v>2968</v>
      </c>
    </row>
    <row r="80" spans="1:1" x14ac:dyDescent="0.3">
      <c r="A80" t="s">
        <v>3011</v>
      </c>
    </row>
    <row r="82" spans="1:1" x14ac:dyDescent="0.3">
      <c r="A82" t="s">
        <v>3007</v>
      </c>
    </row>
    <row r="83" spans="1:1" x14ac:dyDescent="0.3">
      <c r="A83" t="s">
        <v>3008</v>
      </c>
    </row>
    <row r="84" spans="1:1" x14ac:dyDescent="0.3">
      <c r="A84" t="s">
        <v>3009</v>
      </c>
    </row>
    <row r="86" spans="1:1" x14ac:dyDescent="0.3">
      <c r="A86" t="s">
        <v>3012</v>
      </c>
    </row>
    <row r="88" spans="1:1" x14ac:dyDescent="0.3">
      <c r="A88" t="s">
        <v>3013</v>
      </c>
    </row>
    <row r="89" spans="1:1" x14ac:dyDescent="0.3">
      <c r="A89" t="s">
        <v>3014</v>
      </c>
    </row>
    <row r="90" spans="1:1" x14ac:dyDescent="0.3">
      <c r="A90" t="s">
        <v>2982</v>
      </c>
    </row>
    <row r="91" spans="1:1" x14ac:dyDescent="0.3">
      <c r="A91" t="s">
        <v>3015</v>
      </c>
    </row>
    <row r="92" spans="1:1" x14ac:dyDescent="0.3">
      <c r="A92" t="s">
        <v>3016</v>
      </c>
    </row>
    <row r="93" spans="1:1" x14ac:dyDescent="0.3">
      <c r="A93" t="s">
        <v>3017</v>
      </c>
    </row>
    <row r="94" spans="1:1" x14ac:dyDescent="0.3">
      <c r="A94" t="s">
        <v>3018</v>
      </c>
    </row>
    <row r="95" spans="1:1" x14ac:dyDescent="0.3">
      <c r="A95" t="s">
        <v>3019</v>
      </c>
    </row>
    <row r="97" spans="1:1" x14ac:dyDescent="0.3">
      <c r="A97" t="s">
        <v>3020</v>
      </c>
    </row>
    <row r="99" spans="1:1" x14ac:dyDescent="0.3">
      <c r="A99" t="s">
        <v>3021</v>
      </c>
    </row>
    <row r="100" spans="1:1" x14ac:dyDescent="0.3">
      <c r="A100" t="s">
        <v>3022</v>
      </c>
    </row>
    <row r="102" spans="1:1" x14ac:dyDescent="0.3">
      <c r="A102" t="s">
        <v>3023</v>
      </c>
    </row>
    <row r="103" spans="1:1" x14ac:dyDescent="0.3">
      <c r="A103" t="s">
        <v>3024</v>
      </c>
    </row>
    <row r="105" spans="1:1" x14ac:dyDescent="0.3">
      <c r="A105" t="s">
        <v>3025</v>
      </c>
    </row>
    <row r="106" spans="1:1" x14ac:dyDescent="0.3">
      <c r="A106" t="s">
        <v>3026</v>
      </c>
    </row>
    <row r="108" spans="1:1" x14ac:dyDescent="0.3">
      <c r="A108" t="s">
        <v>3094</v>
      </c>
    </row>
    <row r="110" spans="1:1" x14ac:dyDescent="0.3">
      <c r="A110" t="s">
        <v>3027</v>
      </c>
    </row>
    <row r="112" spans="1:1" x14ac:dyDescent="0.3">
      <c r="A112" t="s">
        <v>3028</v>
      </c>
    </row>
    <row r="114" spans="1:1" x14ac:dyDescent="0.3">
      <c r="A114" t="s">
        <v>3029</v>
      </c>
    </row>
    <row r="116" spans="1:1" x14ac:dyDescent="0.3">
      <c r="A116" t="s">
        <v>3030</v>
      </c>
    </row>
    <row r="118" spans="1:1" x14ac:dyDescent="0.3">
      <c r="A118" t="s">
        <v>3031</v>
      </c>
    </row>
    <row r="120" spans="1:1" x14ac:dyDescent="0.3">
      <c r="A120" t="s">
        <v>3032</v>
      </c>
    </row>
    <row r="122" spans="1:1" x14ac:dyDescent="0.3">
      <c r="A122" t="s">
        <v>3033</v>
      </c>
    </row>
    <row r="124" spans="1:1" x14ac:dyDescent="0.3">
      <c r="A124" t="s">
        <v>3034</v>
      </c>
    </row>
    <row r="126" spans="1:1" x14ac:dyDescent="0.3">
      <c r="A126" t="s">
        <v>3035</v>
      </c>
    </row>
    <row r="128" spans="1:1" x14ac:dyDescent="0.3">
      <c r="A128" t="s">
        <v>3036</v>
      </c>
    </row>
    <row r="130" spans="1:1" x14ac:dyDescent="0.3">
      <c r="A130" t="s">
        <v>3037</v>
      </c>
    </row>
    <row r="132" spans="1:1" x14ac:dyDescent="0.3">
      <c r="A132" t="s">
        <v>3038</v>
      </c>
    </row>
    <row r="133" spans="1:1" x14ac:dyDescent="0.3">
      <c r="A133" t="s">
        <v>3039</v>
      </c>
    </row>
    <row r="134" spans="1:1" x14ac:dyDescent="0.3">
      <c r="A134" t="s">
        <v>3040</v>
      </c>
    </row>
    <row r="135" spans="1:1" x14ac:dyDescent="0.3">
      <c r="A135" t="s">
        <v>3041</v>
      </c>
    </row>
    <row r="137" spans="1:1" x14ac:dyDescent="0.3">
      <c r="A137" t="s">
        <v>3042</v>
      </c>
    </row>
    <row r="139" spans="1:1" x14ac:dyDescent="0.3">
      <c r="A139" t="s">
        <v>3043</v>
      </c>
    </row>
    <row r="140" spans="1:1" x14ac:dyDescent="0.3">
      <c r="A140" t="s">
        <v>3044</v>
      </c>
    </row>
    <row r="141" spans="1:1" x14ac:dyDescent="0.3">
      <c r="A141" t="s">
        <v>3045</v>
      </c>
    </row>
    <row r="142" spans="1:1" x14ac:dyDescent="0.3">
      <c r="A142" t="s">
        <v>3046</v>
      </c>
    </row>
    <row r="143" spans="1:1" x14ac:dyDescent="0.3">
      <c r="A143" t="s">
        <v>3047</v>
      </c>
    </row>
    <row r="145" spans="1:2" x14ac:dyDescent="0.3">
      <c r="A145" t="s">
        <v>3048</v>
      </c>
    </row>
    <row r="147" spans="1:2" x14ac:dyDescent="0.3">
      <c r="A147" t="s">
        <v>3049</v>
      </c>
    </row>
    <row r="148" spans="1:2" x14ac:dyDescent="0.3">
      <c r="A148" t="s">
        <v>3050</v>
      </c>
    </row>
    <row r="149" spans="1:2" x14ac:dyDescent="0.3">
      <c r="A149" t="s">
        <v>3051</v>
      </c>
    </row>
    <row r="151" spans="1:2" x14ac:dyDescent="0.3">
      <c r="A151" t="s">
        <v>3052</v>
      </c>
    </row>
    <row r="153" spans="1:2" x14ac:dyDescent="0.3">
      <c r="A153" t="s">
        <v>3053</v>
      </c>
    </row>
    <row r="154" spans="1:2" x14ac:dyDescent="0.3">
      <c r="A154" t="s">
        <v>3054</v>
      </c>
    </row>
    <row r="155" spans="1:2" x14ac:dyDescent="0.3">
      <c r="A155" t="s">
        <v>3055</v>
      </c>
    </row>
    <row r="157" spans="1:2" x14ac:dyDescent="0.3">
      <c r="A157" t="s">
        <v>3056</v>
      </c>
    </row>
    <row r="158" spans="1:2" x14ac:dyDescent="0.3">
      <c r="A158" t="s">
        <v>3057</v>
      </c>
      <c r="B158" t="s">
        <v>3058</v>
      </c>
    </row>
    <row r="159" spans="1:2" x14ac:dyDescent="0.3">
      <c r="B159" t="s">
        <v>3059</v>
      </c>
    </row>
    <row r="160" spans="1:2" x14ac:dyDescent="0.3">
      <c r="B160" t="s">
        <v>3060</v>
      </c>
    </row>
    <row r="162" spans="1:2" x14ac:dyDescent="0.3">
      <c r="A162" t="s">
        <v>3061</v>
      </c>
      <c r="B162" t="s">
        <v>3062</v>
      </c>
    </row>
    <row r="164" spans="1:2" x14ac:dyDescent="0.3">
      <c r="A164" t="s">
        <v>3063</v>
      </c>
    </row>
    <row r="165" spans="1:2" x14ac:dyDescent="0.3">
      <c r="A165" t="s">
        <v>3064</v>
      </c>
    </row>
    <row r="167" spans="1:2" x14ac:dyDescent="0.3">
      <c r="A167" t="s">
        <v>3039</v>
      </c>
    </row>
    <row r="168" spans="1:2" x14ac:dyDescent="0.3">
      <c r="A168" t="s">
        <v>3065</v>
      </c>
    </row>
    <row r="169" spans="1:2" x14ac:dyDescent="0.3">
      <c r="A169" t="s">
        <v>3066</v>
      </c>
    </row>
    <row r="170" spans="1:2" x14ac:dyDescent="0.3">
      <c r="A170" t="s">
        <v>3067</v>
      </c>
    </row>
    <row r="171" spans="1:2" x14ac:dyDescent="0.3">
      <c r="A171" t="s">
        <v>3068</v>
      </c>
    </row>
    <row r="172" spans="1:2" x14ac:dyDescent="0.3">
      <c r="A172" t="s">
        <v>3069</v>
      </c>
    </row>
    <row r="173" spans="1:2" x14ac:dyDescent="0.3">
      <c r="A173" t="s">
        <v>3070</v>
      </c>
    </row>
    <row r="174" spans="1:2" x14ac:dyDescent="0.3">
      <c r="A174" t="s">
        <v>3071</v>
      </c>
    </row>
    <row r="176" spans="1:2" x14ac:dyDescent="0.3">
      <c r="A176" t="s">
        <v>3072</v>
      </c>
    </row>
    <row r="178" spans="1:1" x14ac:dyDescent="0.3">
      <c r="A178" t="s">
        <v>3073</v>
      </c>
    </row>
    <row r="179" spans="1:1" x14ac:dyDescent="0.3">
      <c r="A179" t="s">
        <v>3074</v>
      </c>
    </row>
    <row r="180" spans="1:1" x14ac:dyDescent="0.3">
      <c r="A180" t="s">
        <v>3075</v>
      </c>
    </row>
    <row r="181" spans="1:1" x14ac:dyDescent="0.3">
      <c r="A181" t="s">
        <v>3076</v>
      </c>
    </row>
    <row r="182" spans="1:1" x14ac:dyDescent="0.3">
      <c r="A182" t="s">
        <v>3077</v>
      </c>
    </row>
    <row r="183" spans="1:1" x14ac:dyDescent="0.3">
      <c r="A183" t="s">
        <v>3078</v>
      </c>
    </row>
    <row r="184" spans="1:1" x14ac:dyDescent="0.3">
      <c r="A184" t="s">
        <v>3079</v>
      </c>
    </row>
    <row r="185" spans="1:1" x14ac:dyDescent="0.3">
      <c r="A185" t="s">
        <v>3080</v>
      </c>
    </row>
    <row r="186" spans="1:1" x14ac:dyDescent="0.3">
      <c r="A186" t="s">
        <v>3081</v>
      </c>
    </row>
    <row r="188" spans="1:1" x14ac:dyDescent="0.3">
      <c r="A188" t="s">
        <v>3082</v>
      </c>
    </row>
    <row r="189" spans="1:1" x14ac:dyDescent="0.3">
      <c r="A189" t="s">
        <v>3083</v>
      </c>
    </row>
    <row r="191" spans="1:1" x14ac:dyDescent="0.3">
      <c r="A191" t="s">
        <v>3084</v>
      </c>
    </row>
    <row r="192" spans="1:1" x14ac:dyDescent="0.3">
      <c r="A192" t="s">
        <v>2974</v>
      </c>
    </row>
    <row r="193" spans="1:1" x14ac:dyDescent="0.3">
      <c r="A193" t="s">
        <v>3085</v>
      </c>
    </row>
    <row r="194" spans="1:1" x14ac:dyDescent="0.3">
      <c r="A194" t="s">
        <v>3086</v>
      </c>
    </row>
    <row r="195" spans="1:1" x14ac:dyDescent="0.3">
      <c r="A195" t="s">
        <v>3087</v>
      </c>
    </row>
    <row r="196" spans="1:1" x14ac:dyDescent="0.3">
      <c r="A196" t="s">
        <v>3088</v>
      </c>
    </row>
    <row r="197" spans="1:1" x14ac:dyDescent="0.3">
      <c r="A197" t="s">
        <v>3089</v>
      </c>
    </row>
    <row r="198" spans="1:1" x14ac:dyDescent="0.3">
      <c r="A198" t="s">
        <v>3090</v>
      </c>
    </row>
    <row r="200" spans="1:1" x14ac:dyDescent="0.3">
      <c r="A200" t="s">
        <v>3091</v>
      </c>
    </row>
    <row r="201" spans="1:1" x14ac:dyDescent="0.3">
      <c r="A201" t="s">
        <v>3092</v>
      </c>
    </row>
    <row r="203" spans="1:1" x14ac:dyDescent="0.3">
      <c r="A203" t="s">
        <v>3093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90A07-6515-4A9A-A3F7-5BF4A5261A6D}">
  <sheetPr codeName="Sheet1"/>
  <dimension ref="A1:M248"/>
  <sheetViews>
    <sheetView topLeftCell="A82" zoomScale="210" zoomScaleNormal="210" workbookViewId="0">
      <selection activeCell="A96" sqref="A96"/>
    </sheetView>
  </sheetViews>
  <sheetFormatPr defaultRowHeight="14.4" x14ac:dyDescent="0.3"/>
  <cols>
    <col min="1" max="1" width="51.5546875" bestFit="1" customWidth="1"/>
    <col min="2" max="2" width="51.5546875" customWidth="1"/>
    <col min="3" max="3" width="37.88671875" customWidth="1"/>
    <col min="4" max="4" width="7.109375" customWidth="1"/>
    <col min="5" max="5" width="18.5546875" bestFit="1" customWidth="1"/>
    <col min="6" max="6" width="23" customWidth="1"/>
    <col min="7" max="7" width="12.6640625" bestFit="1" customWidth="1"/>
    <col min="8" max="8" width="20.88671875" customWidth="1"/>
  </cols>
  <sheetData>
    <row r="1" spans="1:13" x14ac:dyDescent="0.3">
      <c r="C1" t="s">
        <v>2961</v>
      </c>
      <c r="D1" t="s">
        <v>2962</v>
      </c>
      <c r="E1" t="s">
        <v>2963</v>
      </c>
      <c r="F1" t="s">
        <v>3095</v>
      </c>
      <c r="G1" t="s">
        <v>2964</v>
      </c>
      <c r="H1" t="s">
        <v>3095</v>
      </c>
      <c r="I1" t="s">
        <v>2965</v>
      </c>
      <c r="J1" t="s">
        <v>4040</v>
      </c>
      <c r="K1" t="s">
        <v>4041</v>
      </c>
      <c r="L1" t="s">
        <v>4042</v>
      </c>
      <c r="M1" t="s">
        <v>4043</v>
      </c>
    </row>
    <row r="2" spans="1:13" x14ac:dyDescent="0.3">
      <c r="A2" t="s">
        <v>2468</v>
      </c>
      <c r="B2" t="b">
        <f>A2=C2</f>
        <v>1</v>
      </c>
      <c r="C2" t="s">
        <v>2468</v>
      </c>
      <c r="D2" t="s">
        <v>2469</v>
      </c>
      <c r="E2" t="s">
        <v>3096</v>
      </c>
      <c r="F2" t="s">
        <v>3097</v>
      </c>
      <c r="G2" t="s">
        <v>3098</v>
      </c>
      <c r="H2" t="s">
        <v>3099</v>
      </c>
      <c r="I2" t="s">
        <v>3100</v>
      </c>
      <c r="J2" t="str" cm="1">
        <f t="array" ref="J2">firstword(C2)</f>
        <v>Abraham</v>
      </c>
      <c r="K2" t="str" cm="1">
        <f t="array" ref="K2">lastword(C2)</f>
        <v>Whipple</v>
      </c>
      <c r="L2" t="str">
        <f>RIGHT(E2,4)</f>
        <v>1733</v>
      </c>
      <c r="M2" t="str">
        <f>RIGHT(G2,4)</f>
        <v>1819</v>
      </c>
    </row>
    <row r="3" spans="1:13" x14ac:dyDescent="0.3">
      <c r="A3" t="s">
        <v>2470</v>
      </c>
      <c r="B3" t="b">
        <f t="shared" ref="B3:B66" si="0">A3=C3</f>
        <v>1</v>
      </c>
      <c r="C3" t="s">
        <v>2470</v>
      </c>
      <c r="D3" t="s">
        <v>2471</v>
      </c>
      <c r="E3">
        <v>1718</v>
      </c>
      <c r="F3" t="s">
        <v>3101</v>
      </c>
      <c r="G3" t="s">
        <v>3102</v>
      </c>
      <c r="H3" t="s">
        <v>3103</v>
      </c>
      <c r="I3" t="s">
        <v>3937</v>
      </c>
      <c r="J3" t="str" cm="1">
        <f t="array" ref="J3">firstword(C3)</f>
        <v>Adam</v>
      </c>
      <c r="K3" t="str" cm="1">
        <f t="array" ref="K3">lastword(C3)</f>
        <v>Stephen</v>
      </c>
      <c r="L3" t="str">
        <f t="shared" ref="L3:L66" si="1">RIGHT(E3,4)</f>
        <v>1718</v>
      </c>
      <c r="M3" t="str">
        <f t="shared" ref="M3:M66" si="2">RIGHT(G3,4)</f>
        <v>1791</v>
      </c>
    </row>
    <row r="4" spans="1:13" x14ac:dyDescent="0.3">
      <c r="A4" t="s">
        <v>2472</v>
      </c>
      <c r="B4" t="b">
        <f t="shared" si="0"/>
        <v>1</v>
      </c>
      <c r="C4" t="s">
        <v>2472</v>
      </c>
      <c r="J4" t="str" cm="1">
        <f t="array" ref="J4">firstword(C4)</f>
        <v>Albrecht</v>
      </c>
      <c r="K4" t="str" cm="1">
        <f t="array" ref="K4">lastword(C4)</f>
        <v>Horn</v>
      </c>
      <c r="L4" t="str">
        <f t="shared" si="1"/>
        <v/>
      </c>
      <c r="M4" t="str">
        <f t="shared" si="2"/>
        <v/>
      </c>
    </row>
    <row r="5" spans="1:13" x14ac:dyDescent="0.3">
      <c r="A5" t="s">
        <v>2473</v>
      </c>
      <c r="B5" t="b">
        <f t="shared" si="0"/>
        <v>1</v>
      </c>
      <c r="C5" t="s">
        <v>2473</v>
      </c>
      <c r="D5" t="s">
        <v>2474</v>
      </c>
      <c r="E5">
        <v>1731</v>
      </c>
      <c r="G5" t="s">
        <v>3104</v>
      </c>
      <c r="H5" t="s">
        <v>3105</v>
      </c>
      <c r="I5" t="s">
        <v>3106</v>
      </c>
      <c r="J5" t="str" cm="1">
        <f t="array" ref="J5">firstword(C5)</f>
        <v>Alexander</v>
      </c>
      <c r="K5" t="str" cm="1">
        <f t="array" ref="K5">lastword(C5)</f>
        <v>Leslie</v>
      </c>
      <c r="L5" t="str">
        <f t="shared" si="1"/>
        <v>1731</v>
      </c>
      <c r="M5" t="str">
        <f t="shared" si="2"/>
        <v>1794</v>
      </c>
    </row>
    <row r="6" spans="1:13" x14ac:dyDescent="0.3">
      <c r="A6" t="s">
        <v>2475</v>
      </c>
      <c r="B6" t="b">
        <f t="shared" si="0"/>
        <v>1</v>
      </c>
      <c r="C6" t="s">
        <v>2475</v>
      </c>
      <c r="D6" t="s">
        <v>2476</v>
      </c>
      <c r="E6">
        <v>1725</v>
      </c>
      <c r="F6" t="s">
        <v>3107</v>
      </c>
      <c r="G6" t="s">
        <v>3108</v>
      </c>
      <c r="H6" t="s">
        <v>3109</v>
      </c>
      <c r="J6" t="str" cm="1">
        <f t="array" ref="J6">firstword(C6)</f>
        <v>Alexander</v>
      </c>
      <c r="K6" t="str" cm="1">
        <f t="array" ref="K6">lastword(C6)</f>
        <v>Lillington</v>
      </c>
      <c r="L6" t="str">
        <f t="shared" si="1"/>
        <v>1725</v>
      </c>
      <c r="M6" t="str">
        <f t="shared" si="2"/>
        <v>1786</v>
      </c>
    </row>
    <row r="7" spans="1:13" x14ac:dyDescent="0.3">
      <c r="A7" t="s">
        <v>2477</v>
      </c>
      <c r="B7" t="b">
        <f t="shared" si="0"/>
        <v>1</v>
      </c>
      <c r="C7" t="s">
        <v>2477</v>
      </c>
      <c r="D7" t="s">
        <v>2478</v>
      </c>
      <c r="E7">
        <v>1732</v>
      </c>
      <c r="F7" t="s">
        <v>3110</v>
      </c>
      <c r="G7" t="s">
        <v>3111</v>
      </c>
      <c r="H7" t="s">
        <v>3112</v>
      </c>
      <c r="I7" t="s">
        <v>3938</v>
      </c>
      <c r="J7" t="str" cm="1">
        <f t="array" ref="J7">firstword(C7)</f>
        <v>Alexander</v>
      </c>
      <c r="K7" t="str" cm="1">
        <f t="array" ref="K7">lastword(C7)</f>
        <v>McDougall</v>
      </c>
      <c r="L7" t="str">
        <f t="shared" si="1"/>
        <v>1732</v>
      </c>
      <c r="M7" t="str">
        <f t="shared" si="2"/>
        <v>1786</v>
      </c>
    </row>
    <row r="8" spans="1:13" x14ac:dyDescent="0.3">
      <c r="A8" t="s">
        <v>2479</v>
      </c>
      <c r="B8" t="b">
        <f t="shared" si="0"/>
        <v>1</v>
      </c>
      <c r="C8" t="s">
        <v>2479</v>
      </c>
      <c r="D8" t="s">
        <v>2480</v>
      </c>
      <c r="E8" t="s">
        <v>3113</v>
      </c>
      <c r="F8" t="s">
        <v>3114</v>
      </c>
      <c r="G8" t="s">
        <v>3115</v>
      </c>
      <c r="H8" t="s">
        <v>3116</v>
      </c>
      <c r="I8" t="s">
        <v>3117</v>
      </c>
      <c r="J8" t="str" cm="1">
        <f t="array" ref="J8">firstword(C8)</f>
        <v>Alexander</v>
      </c>
      <c r="K8" t="str" cm="1">
        <f t="array" ref="K8">lastword(C8)</f>
        <v>Mebane</v>
      </c>
      <c r="L8" t="str">
        <f t="shared" si="1"/>
        <v>1744</v>
      </c>
      <c r="M8" t="str">
        <f t="shared" si="2"/>
        <v>1795</v>
      </c>
    </row>
    <row r="9" spans="1:13" x14ac:dyDescent="0.3">
      <c r="A9" t="s">
        <v>2481</v>
      </c>
      <c r="B9" t="b">
        <f t="shared" si="0"/>
        <v>1</v>
      </c>
      <c r="C9" t="s">
        <v>2481</v>
      </c>
      <c r="D9" t="s">
        <v>2482</v>
      </c>
      <c r="E9" t="s">
        <v>3118</v>
      </c>
      <c r="F9" t="s">
        <v>3119</v>
      </c>
      <c r="G9" t="s">
        <v>3120</v>
      </c>
      <c r="I9" t="s">
        <v>3121</v>
      </c>
      <c r="J9" t="str" cm="1">
        <f t="array" ref="J9">firstword(C9)</f>
        <v>Alexandre</v>
      </c>
      <c r="K9" t="str" cm="1">
        <f t="array" ref="K9">lastword(C9)</f>
        <v>Montbarrey</v>
      </c>
      <c r="L9" t="str">
        <f t="shared" si="1"/>
        <v>1732</v>
      </c>
      <c r="M9" t="str">
        <f t="shared" si="2"/>
        <v>1796</v>
      </c>
    </row>
    <row r="10" spans="1:13" x14ac:dyDescent="0.3">
      <c r="A10" t="s">
        <v>2483</v>
      </c>
      <c r="B10" t="b">
        <f t="shared" si="0"/>
        <v>1</v>
      </c>
      <c r="C10" t="s">
        <v>2483</v>
      </c>
      <c r="D10" t="s">
        <v>2484</v>
      </c>
      <c r="E10" t="s">
        <v>3122</v>
      </c>
      <c r="F10" t="s">
        <v>3123</v>
      </c>
      <c r="G10" t="s">
        <v>3124</v>
      </c>
      <c r="H10" t="s">
        <v>3125</v>
      </c>
      <c r="I10" t="s">
        <v>3126</v>
      </c>
      <c r="J10" t="str" cm="1">
        <f t="array" ref="J10">firstword(C10)</f>
        <v>Allen</v>
      </c>
      <c r="K10" t="str" cm="1">
        <f t="array" ref="K10">lastword(C10)</f>
        <v>Jones</v>
      </c>
      <c r="L10" t="str">
        <f t="shared" si="1"/>
        <v xml:space="preserve"> 173</v>
      </c>
      <c r="M10" t="str">
        <f t="shared" si="2"/>
        <v>1798</v>
      </c>
    </row>
    <row r="11" spans="1:13" x14ac:dyDescent="0.3">
      <c r="A11" t="s">
        <v>2485</v>
      </c>
      <c r="B11" t="b">
        <f t="shared" si="0"/>
        <v>1</v>
      </c>
      <c r="C11" t="s">
        <v>2485</v>
      </c>
      <c r="D11" t="s">
        <v>2486</v>
      </c>
      <c r="F11" t="s">
        <v>3127</v>
      </c>
      <c r="G11" t="s">
        <v>3128</v>
      </c>
      <c r="H11" t="s">
        <v>3129</v>
      </c>
      <c r="I11" t="s">
        <v>3130</v>
      </c>
      <c r="J11" t="str" cm="1">
        <f t="array" ref="J11">firstword(C11)</f>
        <v>Ambrose</v>
      </c>
      <c r="K11" t="str" cm="1">
        <f t="array" ref="K11">lastword(C11)</f>
        <v>Ramsey</v>
      </c>
      <c r="L11" t="str">
        <f t="shared" si="1"/>
        <v/>
      </c>
      <c r="M11" t="str">
        <f t="shared" si="2"/>
        <v>1805</v>
      </c>
    </row>
    <row r="12" spans="1:13" x14ac:dyDescent="0.3">
      <c r="A12" t="s">
        <v>2487</v>
      </c>
      <c r="B12" t="b">
        <f t="shared" si="0"/>
        <v>1</v>
      </c>
      <c r="C12" t="s">
        <v>2487</v>
      </c>
      <c r="D12" t="s">
        <v>2488</v>
      </c>
      <c r="E12" t="s">
        <v>3131</v>
      </c>
      <c r="F12" t="s">
        <v>3132</v>
      </c>
      <c r="G12" t="s">
        <v>3133</v>
      </c>
      <c r="H12" t="s">
        <v>3134</v>
      </c>
      <c r="I12" t="s">
        <v>3939</v>
      </c>
      <c r="J12" t="str" cm="1">
        <f t="array" ref="J12">firstword(C12)</f>
        <v>Andrew</v>
      </c>
      <c r="K12" t="str" cm="1">
        <f t="array" ref="K12">lastword(C12)</f>
        <v>Lewis</v>
      </c>
      <c r="L12" t="str">
        <f t="shared" si="1"/>
        <v>1720</v>
      </c>
      <c r="M12" t="str">
        <f t="shared" si="2"/>
        <v>1781</v>
      </c>
    </row>
    <row r="13" spans="1:13" x14ac:dyDescent="0.3">
      <c r="A13" t="s">
        <v>2489</v>
      </c>
      <c r="B13" t="b">
        <f t="shared" si="0"/>
        <v>1</v>
      </c>
      <c r="C13" t="s">
        <v>2489</v>
      </c>
      <c r="D13" t="s">
        <v>2490</v>
      </c>
      <c r="E13" t="s">
        <v>3135</v>
      </c>
      <c r="F13" t="s">
        <v>3136</v>
      </c>
      <c r="G13" t="s">
        <v>3137</v>
      </c>
      <c r="H13" t="s">
        <v>3138</v>
      </c>
      <c r="I13" t="s">
        <v>3139</v>
      </c>
      <c r="J13" t="str" cm="1">
        <f t="array" ref="J13">firstword(C13)</f>
        <v>Andrew</v>
      </c>
      <c r="K13" t="str" cm="1">
        <f t="array" ref="K13">lastword(C13)</f>
        <v>Pickens</v>
      </c>
      <c r="L13" t="str">
        <f t="shared" si="1"/>
        <v>1739</v>
      </c>
      <c r="M13" t="str">
        <f t="shared" si="2"/>
        <v>1817</v>
      </c>
    </row>
    <row r="14" spans="1:13" x14ac:dyDescent="0.3">
      <c r="A14" t="s">
        <v>2491</v>
      </c>
      <c r="B14" t="b">
        <f t="shared" si="0"/>
        <v>1</v>
      </c>
      <c r="C14" t="s">
        <v>2491</v>
      </c>
      <c r="D14" t="s">
        <v>2492</v>
      </c>
      <c r="E14">
        <v>1730</v>
      </c>
      <c r="G14">
        <v>1786</v>
      </c>
      <c r="I14" t="s">
        <v>3940</v>
      </c>
      <c r="J14" t="str" cm="1">
        <f t="array" ref="J14">firstword(C14)</f>
        <v>Andrew</v>
      </c>
      <c r="K14" t="str" cm="1">
        <f t="array" ref="K14">lastword(C14)</f>
        <v>Williamson</v>
      </c>
      <c r="L14" t="str">
        <f t="shared" si="1"/>
        <v>1730</v>
      </c>
      <c r="M14" t="str">
        <f t="shared" si="2"/>
        <v>1786</v>
      </c>
    </row>
    <row r="15" spans="1:13" x14ac:dyDescent="0.3">
      <c r="A15" t="s">
        <v>2493</v>
      </c>
      <c r="B15" t="b">
        <f t="shared" si="0"/>
        <v>1</v>
      </c>
      <c r="C15" t="s">
        <v>2493</v>
      </c>
      <c r="D15" t="s">
        <v>2494</v>
      </c>
      <c r="E15" t="s">
        <v>3140</v>
      </c>
      <c r="F15" t="s">
        <v>3141</v>
      </c>
      <c r="G15" t="s">
        <v>3142</v>
      </c>
      <c r="H15" t="s">
        <v>3143</v>
      </c>
      <c r="I15" t="s">
        <v>3941</v>
      </c>
      <c r="J15" t="str" cm="1">
        <f t="array" ref="J15">firstword(C15)</f>
        <v>Anthony</v>
      </c>
      <c r="K15" t="str" cm="1">
        <f t="array" ref="K15">lastword(C15)</f>
        <v>Wayne</v>
      </c>
      <c r="L15" t="str">
        <f t="shared" si="1"/>
        <v>1745</v>
      </c>
      <c r="M15" t="str">
        <f t="shared" si="2"/>
        <v>1796</v>
      </c>
    </row>
    <row r="16" spans="1:13" x14ac:dyDescent="0.3">
      <c r="A16" t="s">
        <v>2495</v>
      </c>
      <c r="B16" t="b">
        <f t="shared" si="0"/>
        <v>1</v>
      </c>
      <c r="C16" t="s">
        <v>2495</v>
      </c>
      <c r="D16" t="s">
        <v>2496</v>
      </c>
      <c r="E16" t="s">
        <v>3144</v>
      </c>
      <c r="G16" t="s">
        <v>3145</v>
      </c>
      <c r="I16" t="s">
        <v>3146</v>
      </c>
      <c r="J16" t="str" cm="1">
        <f t="array" ref="J16">firstword(C16)</f>
        <v>Antoine</v>
      </c>
      <c r="K16" t="str" cm="1">
        <f t="array" ref="K16">lastword(C16)</f>
        <v>Sartine</v>
      </c>
      <c r="L16" t="str">
        <f t="shared" si="1"/>
        <v>729 </v>
      </c>
      <c r="M16" t="str">
        <f t="shared" si="2"/>
        <v>1801</v>
      </c>
    </row>
    <row r="17" spans="1:13" x14ac:dyDescent="0.3">
      <c r="A17" t="s">
        <v>2497</v>
      </c>
      <c r="B17" t="b">
        <f t="shared" si="0"/>
        <v>1</v>
      </c>
      <c r="C17" t="s">
        <v>2497</v>
      </c>
      <c r="D17" t="s">
        <v>2498</v>
      </c>
      <c r="E17" t="s">
        <v>3147</v>
      </c>
      <c r="F17" t="s">
        <v>3149</v>
      </c>
      <c r="G17" t="s">
        <v>3148</v>
      </c>
      <c r="H17" t="s">
        <v>3928</v>
      </c>
      <c r="I17" t="s">
        <v>4027</v>
      </c>
      <c r="J17" t="str" cm="1">
        <f t="array" ref="J17">firstword(C17)</f>
        <v>Antonio</v>
      </c>
      <c r="K17" t="str" cm="1">
        <f t="array" ref="K17">lastword(C17)</f>
        <v>Barceló</v>
      </c>
      <c r="L17" t="str">
        <f t="shared" si="1"/>
        <v>1717</v>
      </c>
      <c r="M17" t="str">
        <f t="shared" si="2"/>
        <v>1797</v>
      </c>
    </row>
    <row r="18" spans="1:13" x14ac:dyDescent="0.3">
      <c r="A18" t="s">
        <v>2499</v>
      </c>
      <c r="B18" t="b">
        <f t="shared" si="0"/>
        <v>1</v>
      </c>
      <c r="C18" t="s">
        <v>2499</v>
      </c>
      <c r="D18" t="s">
        <v>2500</v>
      </c>
      <c r="E18" t="s">
        <v>3150</v>
      </c>
      <c r="F18" t="s">
        <v>3151</v>
      </c>
      <c r="G18" t="s">
        <v>3152</v>
      </c>
      <c r="H18" t="s">
        <v>3153</v>
      </c>
      <c r="I18" t="s">
        <v>3154</v>
      </c>
      <c r="J18" t="str" cm="1">
        <f t="array" ref="J18">firstword(C18)</f>
        <v>Archibald</v>
      </c>
      <c r="K18" t="str" cm="1">
        <f t="array" ref="K18">lastword(C18)</f>
        <v>Campbell</v>
      </c>
      <c r="L18" t="str">
        <f t="shared" si="1"/>
        <v>1739</v>
      </c>
      <c r="M18" t="str">
        <f t="shared" si="2"/>
        <v>1791</v>
      </c>
    </row>
    <row r="19" spans="1:13" x14ac:dyDescent="0.3">
      <c r="A19" t="s">
        <v>2501</v>
      </c>
      <c r="B19" t="b">
        <f t="shared" si="0"/>
        <v>1</v>
      </c>
      <c r="C19" t="s">
        <v>2501</v>
      </c>
      <c r="D19" t="s">
        <v>2502</v>
      </c>
      <c r="E19" t="s">
        <v>3155</v>
      </c>
      <c r="F19" t="s">
        <v>3156</v>
      </c>
      <c r="H19" t="s">
        <v>3157</v>
      </c>
      <c r="I19" t="s">
        <v>3942</v>
      </c>
      <c r="J19" t="str" cm="1">
        <f t="array" ref="J19">firstword(C19)</f>
        <v>Armand</v>
      </c>
      <c r="K19" t="str" cm="1">
        <f t="array" ref="K19">lastword(C19)</f>
        <v>Gontaut</v>
      </c>
      <c r="L19" t="str">
        <f t="shared" si="1"/>
        <v>1747</v>
      </c>
      <c r="M19" t="str">
        <f t="shared" si="2"/>
        <v/>
      </c>
    </row>
    <row r="20" spans="1:13" x14ac:dyDescent="0.3">
      <c r="A20" t="s">
        <v>2503</v>
      </c>
      <c r="B20" t="b">
        <f t="shared" si="0"/>
        <v>1</v>
      </c>
      <c r="C20" t="s">
        <v>2503</v>
      </c>
      <c r="D20" t="s">
        <v>2504</v>
      </c>
      <c r="E20" t="s">
        <v>3158</v>
      </c>
      <c r="F20" t="s">
        <v>3159</v>
      </c>
      <c r="G20" t="s">
        <v>3160</v>
      </c>
      <c r="H20" t="s">
        <v>3161</v>
      </c>
      <c r="I20" t="s">
        <v>3943</v>
      </c>
      <c r="J20" t="str" cm="1">
        <f t="array" ref="J20">firstword(C20)</f>
        <v>Artemas</v>
      </c>
      <c r="K20" t="str" cm="1">
        <f t="array" ref="K20">lastword(C20)</f>
        <v>Ward</v>
      </c>
      <c r="L20" t="str">
        <f t="shared" si="1"/>
        <v>1727</v>
      </c>
      <c r="M20" t="str">
        <f t="shared" si="2"/>
        <v>1800</v>
      </c>
    </row>
    <row r="21" spans="1:13" x14ac:dyDescent="0.3">
      <c r="A21" t="s">
        <v>2505</v>
      </c>
      <c r="B21" t="b">
        <f t="shared" si="0"/>
        <v>1</v>
      </c>
      <c r="C21" t="s">
        <v>2505</v>
      </c>
      <c r="D21" t="s">
        <v>2506</v>
      </c>
      <c r="E21" t="s">
        <v>3162</v>
      </c>
      <c r="F21" t="s">
        <v>3163</v>
      </c>
      <c r="G21" t="s">
        <v>3164</v>
      </c>
      <c r="H21" t="s">
        <v>3165</v>
      </c>
      <c r="I21" t="s">
        <v>4028</v>
      </c>
      <c r="J21" t="str" cm="1">
        <f t="array" ref="J21">firstword(C21)</f>
        <v>Arthur</v>
      </c>
      <c r="K21" t="str" cm="1">
        <f t="array" ref="K21">lastword(C21)</f>
        <v>Clair</v>
      </c>
      <c r="L21" t="str">
        <f t="shared" si="1"/>
        <v>1737</v>
      </c>
      <c r="M21" t="str">
        <f t="shared" si="2"/>
        <v>1818</v>
      </c>
    </row>
    <row r="22" spans="1:13" x14ac:dyDescent="0.3">
      <c r="A22" t="s">
        <v>2507</v>
      </c>
      <c r="B22" t="b">
        <f t="shared" si="0"/>
        <v>1</v>
      </c>
      <c r="C22" t="s">
        <v>2507</v>
      </c>
      <c r="D22" t="s">
        <v>2508</v>
      </c>
      <c r="E22" t="s">
        <v>3166</v>
      </c>
      <c r="G22" t="s">
        <v>3167</v>
      </c>
      <c r="I22" t="s">
        <v>4029</v>
      </c>
      <c r="J22" t="str" cm="1">
        <f t="array" ref="J22">firstword(C22)</f>
        <v>August</v>
      </c>
      <c r="K22" t="str" cm="1">
        <f t="array" ref="K22">lastword(C22)</f>
        <v>Motte</v>
      </c>
      <c r="L22" t="str">
        <f t="shared" si="1"/>
        <v>1713</v>
      </c>
      <c r="M22" t="str">
        <f t="shared" si="2"/>
        <v>1788</v>
      </c>
    </row>
    <row r="23" spans="1:13" x14ac:dyDescent="0.3">
      <c r="A23" t="s">
        <v>2509</v>
      </c>
      <c r="B23" t="b">
        <f t="shared" si="0"/>
        <v>1</v>
      </c>
      <c r="C23" t="s">
        <v>2509</v>
      </c>
      <c r="D23" t="s">
        <v>2510</v>
      </c>
      <c r="E23" t="s">
        <v>3168</v>
      </c>
      <c r="G23" t="s">
        <v>3169</v>
      </c>
      <c r="H23" t="s">
        <v>190</v>
      </c>
      <c r="I23" t="s">
        <v>3944</v>
      </c>
      <c r="J23" t="str" cm="1">
        <f t="array" ref="J23">firstword(C23)</f>
        <v>Augustine</v>
      </c>
      <c r="K23" t="str" cm="1">
        <f t="array" ref="K23">lastword(C23)</f>
        <v>Prévost</v>
      </c>
      <c r="L23" t="str">
        <f t="shared" si="1"/>
        <v>1723</v>
      </c>
      <c r="M23" t="str">
        <f t="shared" si="2"/>
        <v>1786</v>
      </c>
    </row>
    <row r="24" spans="1:13" x14ac:dyDescent="0.3">
      <c r="A24" t="s">
        <v>2511</v>
      </c>
      <c r="B24" t="b">
        <f t="shared" si="0"/>
        <v>1</v>
      </c>
      <c r="C24" t="s">
        <v>2511</v>
      </c>
      <c r="D24" t="s">
        <v>2512</v>
      </c>
      <c r="E24" t="s">
        <v>3170</v>
      </c>
      <c r="F24" t="s">
        <v>3171</v>
      </c>
      <c r="G24" t="s">
        <v>3172</v>
      </c>
      <c r="H24" t="s">
        <v>3173</v>
      </c>
      <c r="I24" t="s">
        <v>3945</v>
      </c>
      <c r="J24" t="str" cm="1">
        <f t="array" ref="J24">firstword(C24)</f>
        <v>Banastre</v>
      </c>
      <c r="K24" t="str" cm="1">
        <f t="array" ref="K24">lastword(C24)</f>
        <v>Tarleton</v>
      </c>
      <c r="L24" t="str">
        <f t="shared" si="1"/>
        <v>1754</v>
      </c>
      <c r="M24" t="str">
        <f t="shared" si="2"/>
        <v>1833</v>
      </c>
    </row>
    <row r="25" spans="1:13" x14ac:dyDescent="0.3">
      <c r="A25" t="s">
        <v>2513</v>
      </c>
      <c r="B25" t="b">
        <f t="shared" si="0"/>
        <v>1</v>
      </c>
      <c r="C25" t="s">
        <v>2513</v>
      </c>
      <c r="D25" t="s">
        <v>2514</v>
      </c>
      <c r="E25" t="s">
        <v>3174</v>
      </c>
      <c r="F25" t="s">
        <v>3175</v>
      </c>
      <c r="G25" t="s">
        <v>3176</v>
      </c>
      <c r="H25" t="s">
        <v>190</v>
      </c>
      <c r="I25" t="s">
        <v>3946</v>
      </c>
      <c r="J25" t="str" cm="1">
        <f t="array" ref="J25">firstword(C25)</f>
        <v>Benedict</v>
      </c>
      <c r="K25" t="str" cm="1">
        <f t="array" ref="K25">lastword(C25)</f>
        <v>Arnold</v>
      </c>
      <c r="L25" t="str">
        <f t="shared" si="1"/>
        <v>1741</v>
      </c>
      <c r="M25" t="str">
        <f t="shared" si="2"/>
        <v>1801</v>
      </c>
    </row>
    <row r="26" spans="1:13" x14ac:dyDescent="0.3">
      <c r="A26" t="s">
        <v>2515</v>
      </c>
      <c r="B26" t="b">
        <f t="shared" si="0"/>
        <v>1</v>
      </c>
      <c r="C26" t="s">
        <v>2515</v>
      </c>
      <c r="D26" t="s">
        <v>2516</v>
      </c>
      <c r="E26" t="s">
        <v>3177</v>
      </c>
      <c r="F26" t="s">
        <v>3178</v>
      </c>
      <c r="G26" t="s">
        <v>3179</v>
      </c>
      <c r="H26" t="s">
        <v>3180</v>
      </c>
      <c r="I26" t="s">
        <v>3947</v>
      </c>
      <c r="J26" t="str" cm="1">
        <f t="array" ref="J26">firstword(C26)</f>
        <v>Benjamin</v>
      </c>
      <c r="K26" t="str" cm="1">
        <f t="array" ref="K26">lastword(C26)</f>
        <v>Lincoln</v>
      </c>
      <c r="L26" t="str">
        <f t="shared" si="1"/>
        <v>1733</v>
      </c>
      <c r="M26" t="str">
        <f t="shared" si="2"/>
        <v>1810</v>
      </c>
    </row>
    <row r="27" spans="1:13" x14ac:dyDescent="0.3">
      <c r="A27" t="s">
        <v>2517</v>
      </c>
      <c r="B27" t="b">
        <f t="shared" si="0"/>
        <v>1</v>
      </c>
      <c r="C27" t="s">
        <v>2517</v>
      </c>
      <c r="D27" t="s">
        <v>2518</v>
      </c>
      <c r="E27" t="s">
        <v>3181</v>
      </c>
      <c r="F27" t="s">
        <v>3182</v>
      </c>
      <c r="G27" t="s">
        <v>3183</v>
      </c>
      <c r="H27" t="s">
        <v>3184</v>
      </c>
      <c r="I27" t="s">
        <v>4030</v>
      </c>
      <c r="J27" t="str" cm="1">
        <f t="array" ref="J27">firstword(C27)</f>
        <v>Bernardo</v>
      </c>
      <c r="K27" t="str" cm="1">
        <f t="array" ref="K27">lastword(C27)</f>
        <v>Gálvez</v>
      </c>
      <c r="L27" t="str">
        <f t="shared" si="1"/>
        <v>1746</v>
      </c>
      <c r="M27" t="str">
        <f t="shared" si="2"/>
        <v>1786</v>
      </c>
    </row>
    <row r="28" spans="1:13" x14ac:dyDescent="0.3">
      <c r="A28" t="s">
        <v>2519</v>
      </c>
      <c r="B28" t="b">
        <f t="shared" si="0"/>
        <v>1</v>
      </c>
      <c r="C28" t="s">
        <v>2519</v>
      </c>
      <c r="D28" t="s">
        <v>2520</v>
      </c>
      <c r="I28" t="s">
        <v>3185</v>
      </c>
      <c r="J28" t="str" cm="1">
        <f t="array" ref="J28">firstword(C28)</f>
        <v>Bonaventura</v>
      </c>
      <c r="K28" t="str" cm="1">
        <f t="array" ref="K28">lastword(C28)</f>
        <v>Moreno</v>
      </c>
      <c r="L28" t="str">
        <f t="shared" si="1"/>
        <v/>
      </c>
      <c r="M28" t="str">
        <f t="shared" si="2"/>
        <v/>
      </c>
    </row>
    <row r="29" spans="1:13" x14ac:dyDescent="0.3">
      <c r="A29" t="s">
        <v>2521</v>
      </c>
      <c r="B29" t="b">
        <f t="shared" si="0"/>
        <v>1</v>
      </c>
      <c r="C29" t="s">
        <v>2521</v>
      </c>
      <c r="D29" t="s">
        <v>2522</v>
      </c>
      <c r="E29" t="s">
        <v>3186</v>
      </c>
      <c r="F29" t="s">
        <v>3187</v>
      </c>
      <c r="G29" t="s">
        <v>3188</v>
      </c>
      <c r="H29" t="s">
        <v>200</v>
      </c>
      <c r="I29" t="s">
        <v>3189</v>
      </c>
      <c r="J29" t="str" cm="1">
        <f t="array" ref="J29">firstword(C29)</f>
        <v>Carel</v>
      </c>
      <c r="K29" t="str" cm="1">
        <f t="array" ref="K29">lastword(C29)</f>
        <v>Huell</v>
      </c>
      <c r="L29" t="str">
        <f t="shared" si="1"/>
        <v>1764</v>
      </c>
      <c r="M29" t="str">
        <f t="shared" si="2"/>
        <v>1845</v>
      </c>
    </row>
    <row r="30" spans="1:13" x14ac:dyDescent="0.3">
      <c r="A30" t="s">
        <v>2523</v>
      </c>
      <c r="B30" t="b">
        <f t="shared" si="0"/>
        <v>1</v>
      </c>
      <c r="C30" t="s">
        <v>2523</v>
      </c>
      <c r="D30" t="s">
        <v>2524</v>
      </c>
      <c r="E30" t="s">
        <v>3190</v>
      </c>
      <c r="F30" t="s">
        <v>3191</v>
      </c>
      <c r="G30" t="s">
        <v>3192</v>
      </c>
      <c r="H30" t="s">
        <v>3193</v>
      </c>
      <c r="I30" t="s">
        <v>3948</v>
      </c>
      <c r="J30" t="str" cm="1">
        <f t="array" ref="J30">firstword(C30)</f>
        <v>Charles</v>
      </c>
      <c r="K30" t="str" cm="1">
        <f t="array" ref="K30">lastword(C30)</f>
        <v>Tuffin</v>
      </c>
      <c r="L30" t="str">
        <f t="shared" si="1"/>
        <v>1751</v>
      </c>
      <c r="M30" t="str">
        <f t="shared" si="2"/>
        <v>1793</v>
      </c>
    </row>
    <row r="31" spans="1:13" x14ac:dyDescent="0.3">
      <c r="A31" t="s">
        <v>2525</v>
      </c>
      <c r="B31" t="b">
        <f t="shared" si="0"/>
        <v>1</v>
      </c>
      <c r="C31" t="s">
        <v>2525</v>
      </c>
      <c r="D31" t="s">
        <v>2526</v>
      </c>
      <c r="E31" t="s">
        <v>3194</v>
      </c>
      <c r="F31" t="s">
        <v>3195</v>
      </c>
      <c r="G31" t="s">
        <v>3196</v>
      </c>
      <c r="I31" t="s">
        <v>3197</v>
      </c>
      <c r="J31" t="str" cm="1">
        <f t="array" ref="J31">firstword(C31)</f>
        <v>Charles</v>
      </c>
      <c r="K31" t="str" cm="1">
        <f t="array" ref="K31">lastword(C31)</f>
        <v>Cornwallis</v>
      </c>
      <c r="L31" t="str">
        <f t="shared" si="1"/>
        <v>1738</v>
      </c>
      <c r="M31" t="str">
        <f t="shared" si="2"/>
        <v>1805</v>
      </c>
    </row>
    <row r="32" spans="1:13" x14ac:dyDescent="0.3">
      <c r="A32" t="s">
        <v>2527</v>
      </c>
      <c r="B32" t="b">
        <f t="shared" si="0"/>
        <v>1</v>
      </c>
      <c r="C32" t="s">
        <v>2527</v>
      </c>
      <c r="D32" t="s">
        <v>2528</v>
      </c>
      <c r="E32">
        <v>1727</v>
      </c>
      <c r="F32" t="s">
        <v>3198</v>
      </c>
      <c r="G32" t="s">
        <v>3199</v>
      </c>
      <c r="H32" t="s">
        <v>215</v>
      </c>
      <c r="I32" t="s">
        <v>3200</v>
      </c>
      <c r="J32" t="str" cm="1">
        <f t="array" ref="J32">firstword(C32)</f>
        <v>Charles</v>
      </c>
      <c r="K32" t="str" cm="1">
        <f t="array" ref="K32">lastword(C32)</f>
        <v>Douglas</v>
      </c>
      <c r="L32" t="str">
        <f t="shared" si="1"/>
        <v>1727</v>
      </c>
      <c r="M32" t="str">
        <f t="shared" si="2"/>
        <v>1789</v>
      </c>
    </row>
    <row r="33" spans="1:13" x14ac:dyDescent="0.3">
      <c r="A33" t="s">
        <v>2529</v>
      </c>
      <c r="B33" t="b">
        <f t="shared" si="0"/>
        <v>1</v>
      </c>
      <c r="C33" t="s">
        <v>2529</v>
      </c>
      <c r="D33" t="s">
        <v>2530</v>
      </c>
      <c r="E33" t="s">
        <v>3201</v>
      </c>
      <c r="F33" t="s">
        <v>3202</v>
      </c>
      <c r="G33" t="s">
        <v>3203</v>
      </c>
      <c r="H33" t="s">
        <v>200</v>
      </c>
      <c r="I33" t="s">
        <v>4031</v>
      </c>
      <c r="J33" t="str" cm="1">
        <f t="array" ref="J33">firstword(C33)</f>
        <v>Charles</v>
      </c>
      <c r="K33" t="str" cm="1">
        <f t="array" ref="K33">lastword(C33)</f>
        <v>Vioménil</v>
      </c>
      <c r="L33" t="str">
        <f t="shared" si="1"/>
        <v>1734</v>
      </c>
      <c r="M33" t="str">
        <f t="shared" si="2"/>
        <v>1827</v>
      </c>
    </row>
    <row r="34" spans="1:13" x14ac:dyDescent="0.3">
      <c r="A34" t="s">
        <v>2531</v>
      </c>
      <c r="B34" t="b">
        <f t="shared" si="0"/>
        <v>1</v>
      </c>
      <c r="C34" t="s">
        <v>2531</v>
      </c>
      <c r="D34" t="s">
        <v>2532</v>
      </c>
      <c r="E34" t="s">
        <v>3204</v>
      </c>
      <c r="F34" t="s">
        <v>200</v>
      </c>
      <c r="G34" t="s">
        <v>3205</v>
      </c>
      <c r="H34" t="s">
        <v>3206</v>
      </c>
      <c r="I34" t="s">
        <v>3207</v>
      </c>
      <c r="J34" t="str" cm="1">
        <f t="array" ref="J34">firstword(C34)</f>
        <v>Charles</v>
      </c>
      <c r="K34" t="str" cm="1">
        <f t="array" ref="K34">lastword(C34)</f>
        <v>Croix</v>
      </c>
      <c r="L34" t="str">
        <f t="shared" si="1"/>
        <v>1727</v>
      </c>
      <c r="M34" t="str">
        <f t="shared" si="2"/>
        <v>1801</v>
      </c>
    </row>
    <row r="35" spans="1:13" x14ac:dyDescent="0.3">
      <c r="A35" t="s">
        <v>2533</v>
      </c>
      <c r="B35" t="b">
        <f t="shared" si="0"/>
        <v>1</v>
      </c>
      <c r="C35" t="s">
        <v>2533</v>
      </c>
      <c r="D35" t="s">
        <v>2534</v>
      </c>
      <c r="E35" t="s">
        <v>3208</v>
      </c>
      <c r="F35" t="s">
        <v>3209</v>
      </c>
      <c r="G35" t="s">
        <v>3210</v>
      </c>
      <c r="H35" t="s">
        <v>3211</v>
      </c>
      <c r="I35" t="s">
        <v>3949</v>
      </c>
      <c r="J35" t="str" cm="1">
        <f t="array" ref="J35">firstword(C35)</f>
        <v>Charles</v>
      </c>
      <c r="K35" t="str" cm="1">
        <f t="array" ref="K35">lastword(C35)</f>
        <v>Gravier</v>
      </c>
      <c r="L35" t="str">
        <f t="shared" si="1"/>
        <v>1719</v>
      </c>
      <c r="M35" t="str">
        <f t="shared" si="2"/>
        <v>1787</v>
      </c>
    </row>
    <row r="36" spans="1:13" x14ac:dyDescent="0.3">
      <c r="A36" t="s">
        <v>2535</v>
      </c>
      <c r="B36" t="b">
        <f t="shared" si="0"/>
        <v>1</v>
      </c>
      <c r="C36" t="s">
        <v>2535</v>
      </c>
      <c r="D36" t="s">
        <v>2536</v>
      </c>
      <c r="E36" s="28" t="s">
        <v>4045</v>
      </c>
      <c r="F36" t="s">
        <v>3212</v>
      </c>
      <c r="G36" t="s">
        <v>3213</v>
      </c>
      <c r="I36" t="s">
        <v>3214</v>
      </c>
      <c r="J36" t="str" cm="1">
        <f t="array" ref="J36">firstword(C36)</f>
        <v>Charles</v>
      </c>
      <c r="K36" t="str" cm="1">
        <f t="array" ref="K36">lastword(C36)</f>
        <v>Grey</v>
      </c>
      <c r="L36" t="str">
        <f t="shared" si="1"/>
        <v>1729</v>
      </c>
      <c r="M36" t="str">
        <f t="shared" si="2"/>
        <v>1807</v>
      </c>
    </row>
    <row r="37" spans="1:13" x14ac:dyDescent="0.3">
      <c r="A37" t="s">
        <v>2537</v>
      </c>
      <c r="B37" t="b">
        <f t="shared" si="0"/>
        <v>1</v>
      </c>
      <c r="C37" t="s">
        <v>2537</v>
      </c>
      <c r="D37" t="s">
        <v>2538</v>
      </c>
      <c r="E37" t="s">
        <v>3215</v>
      </c>
      <c r="F37" t="s">
        <v>3216</v>
      </c>
      <c r="G37" t="s">
        <v>3217</v>
      </c>
      <c r="H37" t="s">
        <v>3218</v>
      </c>
      <c r="I37" t="s">
        <v>3219</v>
      </c>
      <c r="J37" t="str" cm="1">
        <f t="array" ref="J37">firstword(C37)</f>
        <v>Charles</v>
      </c>
      <c r="K37" t="str" cm="1">
        <f t="array" ref="K37">lastword(C37)</f>
        <v>Hector</v>
      </c>
      <c r="L37" t="str">
        <f t="shared" si="1"/>
        <v>1729</v>
      </c>
      <c r="M37" t="str">
        <f t="shared" si="2"/>
        <v>1794</v>
      </c>
    </row>
    <row r="38" spans="1:13" x14ac:dyDescent="0.3">
      <c r="A38" t="s">
        <v>2539</v>
      </c>
      <c r="B38" t="b">
        <f t="shared" si="0"/>
        <v>1</v>
      </c>
      <c r="C38" t="s">
        <v>2539</v>
      </c>
      <c r="D38" t="s">
        <v>2540</v>
      </c>
      <c r="E38" t="s">
        <v>3220</v>
      </c>
      <c r="F38" t="s">
        <v>3221</v>
      </c>
      <c r="G38" t="s">
        <v>3222</v>
      </c>
      <c r="H38" t="s">
        <v>190</v>
      </c>
      <c r="I38" t="s">
        <v>3223</v>
      </c>
      <c r="J38" t="str" cm="1">
        <f t="array" ref="J38">firstword(C38)</f>
        <v>Charles</v>
      </c>
      <c r="K38" t="str" cm="1">
        <f t="array" ref="K38">lastword(C38)</f>
        <v>Jenkinson</v>
      </c>
      <c r="L38" t="str">
        <f t="shared" si="1"/>
        <v>1729</v>
      </c>
      <c r="M38" t="str">
        <f t="shared" si="2"/>
        <v>1808</v>
      </c>
    </row>
    <row r="39" spans="1:13" x14ac:dyDescent="0.3">
      <c r="A39" t="s">
        <v>2541</v>
      </c>
      <c r="B39" t="b">
        <f t="shared" si="0"/>
        <v>1</v>
      </c>
      <c r="C39" t="s">
        <v>2541</v>
      </c>
      <c r="D39" t="s">
        <v>2542</v>
      </c>
      <c r="G39" t="s">
        <v>3224</v>
      </c>
      <c r="H39" t="s">
        <v>3225</v>
      </c>
      <c r="J39" t="str" cm="1">
        <f t="array" ref="J39">firstword(C39)</f>
        <v>Charles</v>
      </c>
      <c r="K39" t="str" cm="1">
        <f t="array" ref="K39">lastword(C39)</f>
        <v>Patissier</v>
      </c>
      <c r="L39" t="str">
        <f t="shared" si="1"/>
        <v/>
      </c>
      <c r="M39" t="str">
        <f t="shared" si="2"/>
        <v>1785</v>
      </c>
    </row>
    <row r="40" spans="1:13" x14ac:dyDescent="0.3">
      <c r="A40" t="s">
        <v>2543</v>
      </c>
      <c r="B40" t="b">
        <f t="shared" si="0"/>
        <v>1</v>
      </c>
      <c r="C40" t="s">
        <v>2543</v>
      </c>
      <c r="D40" t="s">
        <v>2544</v>
      </c>
      <c r="E40" t="s">
        <v>3226</v>
      </c>
      <c r="F40" t="s">
        <v>3227</v>
      </c>
      <c r="G40" t="s">
        <v>3228</v>
      </c>
      <c r="H40" t="s">
        <v>3229</v>
      </c>
      <c r="I40" t="s">
        <v>3950</v>
      </c>
      <c r="J40" t="str" cm="1">
        <f t="array" ref="J40">firstword(C40)</f>
        <v>Charles</v>
      </c>
      <c r="K40" t="str" cm="1">
        <f t="array" ref="K40">lastword(C40)</f>
        <v>Lee</v>
      </c>
      <c r="L40" t="str">
        <f t="shared" si="1"/>
        <v>1732</v>
      </c>
      <c r="M40" t="str">
        <f t="shared" si="2"/>
        <v>1782</v>
      </c>
    </row>
    <row r="41" spans="1:13" x14ac:dyDescent="0.3">
      <c r="A41" t="s">
        <v>2545</v>
      </c>
      <c r="B41" t="b">
        <f t="shared" si="0"/>
        <v>1</v>
      </c>
      <c r="C41" t="s">
        <v>2545</v>
      </c>
      <c r="D41" t="s">
        <v>2546</v>
      </c>
      <c r="E41" t="s">
        <v>3230</v>
      </c>
      <c r="F41" t="s">
        <v>3231</v>
      </c>
      <c r="G41" t="s">
        <v>3232</v>
      </c>
      <c r="H41" t="s">
        <v>3233</v>
      </c>
      <c r="I41" t="s">
        <v>3951</v>
      </c>
      <c r="J41" t="str" cm="1">
        <f t="array" ref="J41">firstword(C41)</f>
        <v>Charles</v>
      </c>
      <c r="K41" t="str" cm="1">
        <f t="array" ref="K41">lastword(C41)</f>
        <v>McDowell</v>
      </c>
      <c r="L41" t="str">
        <f t="shared" si="1"/>
        <v>1743</v>
      </c>
      <c r="M41" t="str">
        <f t="shared" si="2"/>
        <v>1815</v>
      </c>
    </row>
    <row r="42" spans="1:13" x14ac:dyDescent="0.3">
      <c r="A42" t="s">
        <v>2547</v>
      </c>
      <c r="B42" t="b">
        <f t="shared" si="0"/>
        <v>1</v>
      </c>
      <c r="C42" t="s">
        <v>2547</v>
      </c>
      <c r="D42" t="s">
        <v>2548</v>
      </c>
      <c r="E42" t="s">
        <v>3234</v>
      </c>
      <c r="F42" t="s">
        <v>3235</v>
      </c>
      <c r="G42" t="s">
        <v>3236</v>
      </c>
      <c r="H42" t="s">
        <v>3237</v>
      </c>
      <c r="I42" t="s">
        <v>3238</v>
      </c>
      <c r="J42" t="str" cm="1">
        <f t="array" ref="J42">firstword(C42)</f>
        <v>Charles</v>
      </c>
      <c r="K42" t="str" cm="1">
        <f t="array" ref="K42">lastword(C42)</f>
        <v>Sochet</v>
      </c>
      <c r="L42" t="str">
        <f t="shared" si="1"/>
        <v>1727</v>
      </c>
      <c r="M42" t="str">
        <f t="shared" si="2"/>
        <v>1793</v>
      </c>
    </row>
    <row r="43" spans="1:13" x14ac:dyDescent="0.3">
      <c r="A43" t="s">
        <v>2549</v>
      </c>
      <c r="B43" t="b">
        <f t="shared" si="0"/>
        <v>1</v>
      </c>
      <c r="C43" t="s">
        <v>2549</v>
      </c>
      <c r="D43" t="s">
        <v>2550</v>
      </c>
      <c r="E43" t="s">
        <v>3239</v>
      </c>
      <c r="F43" t="s">
        <v>3240</v>
      </c>
      <c r="G43" t="s">
        <v>3241</v>
      </c>
      <c r="H43" t="s">
        <v>3242</v>
      </c>
      <c r="I43" t="s">
        <v>3243</v>
      </c>
      <c r="J43" t="str" cm="1">
        <f t="array" ref="J43">firstword(C43)</f>
        <v>Charles</v>
      </c>
      <c r="K43" t="str" cm="1">
        <f t="array" ref="K43">lastword(C43)</f>
        <v>Scott</v>
      </c>
      <c r="L43" t="str">
        <f t="shared" si="1"/>
        <v>1739</v>
      </c>
      <c r="M43" t="str">
        <f t="shared" si="2"/>
        <v>1813</v>
      </c>
    </row>
    <row r="44" spans="1:13" x14ac:dyDescent="0.3">
      <c r="A44" t="s">
        <v>2551</v>
      </c>
      <c r="B44" t="b">
        <f t="shared" si="0"/>
        <v>1</v>
      </c>
      <c r="C44" t="s">
        <v>2551</v>
      </c>
      <c r="D44" t="s">
        <v>2552</v>
      </c>
      <c r="E44" t="s">
        <v>3244</v>
      </c>
      <c r="F44" t="s">
        <v>3245</v>
      </c>
      <c r="G44" t="s">
        <v>3246</v>
      </c>
      <c r="H44" t="s">
        <v>3247</v>
      </c>
      <c r="I44" t="s">
        <v>3248</v>
      </c>
      <c r="J44" t="str" cm="1">
        <f t="array" ref="J44">firstword(C44)</f>
        <v>Charles</v>
      </c>
      <c r="K44" t="str" cm="1">
        <f t="array" ref="K44">lastword(C44)</f>
        <v>Watson-Wentworth</v>
      </c>
      <c r="L44" t="str">
        <f t="shared" si="1"/>
        <v>1730</v>
      </c>
      <c r="M44" t="str">
        <f t="shared" si="2"/>
        <v>1782</v>
      </c>
    </row>
    <row r="45" spans="1:13" x14ac:dyDescent="0.3">
      <c r="A45" t="s">
        <v>2553</v>
      </c>
      <c r="B45" t="b">
        <f t="shared" si="0"/>
        <v>1</v>
      </c>
      <c r="C45" t="s">
        <v>2553</v>
      </c>
      <c r="D45" t="s">
        <v>2554</v>
      </c>
      <c r="E45" t="s">
        <v>3249</v>
      </c>
      <c r="F45" t="s">
        <v>3250</v>
      </c>
      <c r="G45" t="s">
        <v>3251</v>
      </c>
      <c r="H45" t="s">
        <v>3252</v>
      </c>
      <c r="I45" t="s">
        <v>3952</v>
      </c>
      <c r="J45" t="str" cm="1">
        <f t="array" ref="J45">firstword(C45)</f>
        <v>Charles-Henri-Louis</v>
      </c>
      <c r="K45" t="str" cm="1">
        <f t="array" ref="K45">lastword(C45)</f>
        <v>d'Arsac</v>
      </c>
      <c r="L45" t="str">
        <f t="shared" si="1"/>
        <v>1723</v>
      </c>
      <c r="M45" t="str">
        <f t="shared" si="2"/>
        <v>1780</v>
      </c>
    </row>
    <row r="46" spans="1:13" x14ac:dyDescent="0.3">
      <c r="A46" t="s">
        <v>2555</v>
      </c>
      <c r="B46" t="b">
        <f t="shared" si="0"/>
        <v>1</v>
      </c>
      <c r="C46" t="s">
        <v>2555</v>
      </c>
      <c r="D46" t="s">
        <v>2556</v>
      </c>
      <c r="E46" t="s">
        <v>3253</v>
      </c>
      <c r="F46" t="s">
        <v>3254</v>
      </c>
      <c r="G46" t="s">
        <v>3255</v>
      </c>
      <c r="H46" t="s">
        <v>3256</v>
      </c>
      <c r="I46" t="s">
        <v>3257</v>
      </c>
      <c r="J46" t="str" cm="1">
        <f t="array" ref="J46">firstword(C46)</f>
        <v>Christopher</v>
      </c>
      <c r="K46" t="str" cm="1">
        <f t="array" ref="K46">lastword(C46)</f>
        <v>Gadsden</v>
      </c>
      <c r="L46" t="str">
        <f t="shared" si="1"/>
        <v>1724</v>
      </c>
      <c r="M46" t="str">
        <f t="shared" si="2"/>
        <v>1805</v>
      </c>
    </row>
    <row r="47" spans="1:13" x14ac:dyDescent="0.3">
      <c r="A47" t="s">
        <v>2557</v>
      </c>
      <c r="B47" t="b">
        <f t="shared" si="0"/>
        <v>1</v>
      </c>
      <c r="C47" t="s">
        <v>2557</v>
      </c>
      <c r="D47" t="s">
        <v>2558</v>
      </c>
      <c r="E47" t="s">
        <v>3249</v>
      </c>
      <c r="F47" t="s">
        <v>3258</v>
      </c>
      <c r="G47">
        <v>1800</v>
      </c>
      <c r="H47" t="s">
        <v>3259</v>
      </c>
      <c r="I47" t="s">
        <v>3260</v>
      </c>
      <c r="J47" t="str" cm="1">
        <f t="array" ref="J47">firstword(C47)</f>
        <v>Claude</v>
      </c>
      <c r="K47" t="str" cm="1">
        <f t="array" ref="K47">lastword(C47)</f>
        <v>Gabriel</v>
      </c>
      <c r="L47" t="str">
        <f t="shared" si="1"/>
        <v>1723</v>
      </c>
      <c r="M47" t="str">
        <f t="shared" si="2"/>
        <v>1800</v>
      </c>
    </row>
    <row r="48" spans="1:13" x14ac:dyDescent="0.3">
      <c r="A48" t="s">
        <v>2559</v>
      </c>
      <c r="B48" t="b">
        <f t="shared" si="0"/>
        <v>1</v>
      </c>
      <c r="C48" t="s">
        <v>2559</v>
      </c>
      <c r="D48" t="s">
        <v>2560</v>
      </c>
      <c r="E48" t="s">
        <v>3261</v>
      </c>
      <c r="F48" t="s">
        <v>3262</v>
      </c>
      <c r="G48" t="s">
        <v>3263</v>
      </c>
      <c r="H48" t="s">
        <v>3264</v>
      </c>
      <c r="I48" t="s">
        <v>3953</v>
      </c>
      <c r="J48" t="str" cm="1">
        <f t="array" ref="J48">firstword(C48)</f>
        <v>Claude</v>
      </c>
      <c r="K48" t="str" cm="1">
        <f t="array" ref="K48">lastword(C48)</f>
        <v>Louis</v>
      </c>
      <c r="L48" t="str">
        <f t="shared" si="1"/>
        <v>1707</v>
      </c>
      <c r="M48" t="str">
        <f t="shared" si="2"/>
        <v>1778</v>
      </c>
    </row>
    <row r="49" spans="1:13" x14ac:dyDescent="0.3">
      <c r="A49" t="s">
        <v>2561</v>
      </c>
      <c r="B49" t="b">
        <f t="shared" si="0"/>
        <v>1</v>
      </c>
      <c r="C49" t="s">
        <v>2561</v>
      </c>
      <c r="D49" t="s">
        <v>2562</v>
      </c>
      <c r="J49" t="str" cm="1">
        <f t="array" ref="J49">firstword(C49)</f>
        <v>Claude-Anne</v>
      </c>
      <c r="K49" t="str" cm="1">
        <f t="array" ref="K49">lastword(C49)</f>
        <v>Simon</v>
      </c>
      <c r="L49" t="str">
        <f t="shared" si="1"/>
        <v/>
      </c>
      <c r="M49" t="str">
        <f t="shared" si="2"/>
        <v/>
      </c>
    </row>
    <row r="50" spans="1:13" x14ac:dyDescent="0.3">
      <c r="A50" t="s">
        <v>2563</v>
      </c>
      <c r="B50" t="b">
        <f t="shared" si="0"/>
        <v>1</v>
      </c>
      <c r="C50" t="s">
        <v>2563</v>
      </c>
      <c r="D50" t="s">
        <v>2564</v>
      </c>
      <c r="E50" t="s">
        <v>3265</v>
      </c>
      <c r="F50" t="s">
        <v>3266</v>
      </c>
      <c r="G50" t="s">
        <v>3267</v>
      </c>
      <c r="H50" t="s">
        <v>3268</v>
      </c>
      <c r="I50" t="s">
        <v>3269</v>
      </c>
      <c r="J50" t="str" cm="1">
        <f t="array" ref="J50">firstword(C50)</f>
        <v>Daniel</v>
      </c>
      <c r="K50" t="str" cm="1">
        <f t="array" ref="K50">lastword(C50)</f>
        <v>Brodhead</v>
      </c>
      <c r="L50" t="str">
        <f t="shared" si="1"/>
        <v>1736</v>
      </c>
      <c r="M50" t="str">
        <f t="shared" si="2"/>
        <v>1809</v>
      </c>
    </row>
    <row r="51" spans="1:13" x14ac:dyDescent="0.3">
      <c r="A51" t="s">
        <v>2565</v>
      </c>
      <c r="B51" t="b">
        <f t="shared" si="0"/>
        <v>1</v>
      </c>
      <c r="C51" t="s">
        <v>2565</v>
      </c>
      <c r="D51" t="s">
        <v>2566</v>
      </c>
      <c r="E51">
        <v>1736</v>
      </c>
      <c r="F51" t="s">
        <v>3270</v>
      </c>
      <c r="G51" t="s">
        <v>3271</v>
      </c>
      <c r="H51" t="s">
        <v>3272</v>
      </c>
      <c r="I51" t="s">
        <v>3273</v>
      </c>
      <c r="J51" t="str" cm="1">
        <f t="array" ref="J51">firstword(C51)</f>
        <v>Daniel</v>
      </c>
      <c r="K51" t="str" cm="1">
        <f t="array" ref="K51">lastword(C51)</f>
        <v>Morgan</v>
      </c>
      <c r="L51" t="str">
        <f t="shared" si="1"/>
        <v>1736</v>
      </c>
      <c r="M51" t="str">
        <f t="shared" si="2"/>
        <v>1802</v>
      </c>
    </row>
    <row r="52" spans="1:13" x14ac:dyDescent="0.3">
      <c r="A52" t="s">
        <v>2567</v>
      </c>
      <c r="B52" t="b">
        <f t="shared" si="0"/>
        <v>1</v>
      </c>
      <c r="C52" t="s">
        <v>2567</v>
      </c>
      <c r="D52" t="s">
        <v>2568</v>
      </c>
      <c r="E52" t="s">
        <v>3274</v>
      </c>
      <c r="F52" t="s">
        <v>3275</v>
      </c>
      <c r="G52" t="s">
        <v>3276</v>
      </c>
      <c r="H52" t="s">
        <v>3277</v>
      </c>
      <c r="I52" t="s">
        <v>3954</v>
      </c>
      <c r="J52" t="str" cm="1">
        <f t="array" ref="J52">firstword(C52)</f>
        <v>David</v>
      </c>
      <c r="K52" t="str" cm="1">
        <f t="array" ref="K52">lastword(C52)</f>
        <v>Wooster</v>
      </c>
      <c r="L52" t="str">
        <f t="shared" si="1"/>
        <v>1711</v>
      </c>
      <c r="M52" t="str">
        <f t="shared" si="2"/>
        <v>1777</v>
      </c>
    </row>
    <row r="53" spans="1:13" x14ac:dyDescent="0.3">
      <c r="A53" t="s">
        <v>2569</v>
      </c>
      <c r="B53" t="b">
        <f t="shared" si="0"/>
        <v>1</v>
      </c>
      <c r="C53" t="s">
        <v>2569</v>
      </c>
      <c r="D53" t="s">
        <v>2570</v>
      </c>
      <c r="E53" t="s">
        <v>3278</v>
      </c>
      <c r="G53" t="s">
        <v>3929</v>
      </c>
      <c r="H53" t="s">
        <v>3279</v>
      </c>
      <c r="I53" t="s">
        <v>3280</v>
      </c>
      <c r="J53" t="str" cm="1">
        <f t="array" ref="J53">firstword(C53)</f>
        <v>Ebenezer</v>
      </c>
      <c r="K53" t="str" cm="1">
        <f t="array" ref="K53">lastword(C53)</f>
        <v>Learned</v>
      </c>
      <c r="L53" t="str">
        <f t="shared" si="1"/>
        <v>1728</v>
      </c>
      <c r="M53" t="str">
        <f t="shared" si="2"/>
        <v>1801</v>
      </c>
    </row>
    <row r="54" spans="1:13" x14ac:dyDescent="0.3">
      <c r="A54" t="s">
        <v>2571</v>
      </c>
      <c r="B54" t="b">
        <f t="shared" si="0"/>
        <v>1</v>
      </c>
      <c r="C54" t="s">
        <v>2571</v>
      </c>
      <c r="D54" t="s">
        <v>2572</v>
      </c>
      <c r="E54" t="s">
        <v>3281</v>
      </c>
      <c r="G54" t="s">
        <v>3282</v>
      </c>
      <c r="H54" t="s">
        <v>3283</v>
      </c>
      <c r="I54" t="s">
        <v>3955</v>
      </c>
      <c r="J54" t="str" cm="1">
        <f t="array" ref="J54">firstword(C54)</f>
        <v>Edward</v>
      </c>
      <c r="K54" t="str" cm="1">
        <f t="array" ref="K54">lastword(C54)</f>
        <v>Vaile</v>
      </c>
      <c r="L54" t="str">
        <f t="shared" si="1"/>
        <v>1717</v>
      </c>
      <c r="M54" t="str">
        <f t="shared" si="2"/>
        <v>1777</v>
      </c>
    </row>
    <row r="55" spans="1:13" x14ac:dyDescent="0.3">
      <c r="A55" t="s">
        <v>2573</v>
      </c>
      <c r="B55" t="b">
        <f t="shared" si="0"/>
        <v>1</v>
      </c>
      <c r="C55" t="s">
        <v>2573</v>
      </c>
      <c r="D55" t="s">
        <v>2574</v>
      </c>
      <c r="E55" t="s">
        <v>3284</v>
      </c>
      <c r="F55" t="s">
        <v>3285</v>
      </c>
      <c r="G55" t="s">
        <v>3286</v>
      </c>
      <c r="H55" t="s">
        <v>3285</v>
      </c>
      <c r="I55" t="s">
        <v>3956</v>
      </c>
      <c r="J55" t="str" cm="1">
        <f t="array" ref="J55">firstword(C55)</f>
        <v>Elias</v>
      </c>
      <c r="K55" t="str" cm="1">
        <f t="array" ref="K55">lastword(C55)</f>
        <v>Dayton</v>
      </c>
      <c r="L55" t="str">
        <f t="shared" si="1"/>
        <v>1737</v>
      </c>
      <c r="M55" t="str">
        <f t="shared" si="2"/>
        <v>1807</v>
      </c>
    </row>
    <row r="56" spans="1:13" x14ac:dyDescent="0.3">
      <c r="A56" t="s">
        <v>2575</v>
      </c>
      <c r="B56" t="b">
        <f t="shared" si="0"/>
        <v>1</v>
      </c>
      <c r="C56" t="s">
        <v>2575</v>
      </c>
      <c r="D56" t="s">
        <v>2576</v>
      </c>
      <c r="E56" t="s">
        <v>3287</v>
      </c>
      <c r="F56" t="s">
        <v>3288</v>
      </c>
      <c r="G56" t="s">
        <v>3289</v>
      </c>
      <c r="H56" t="s">
        <v>3290</v>
      </c>
      <c r="I56" t="s">
        <v>3291</v>
      </c>
      <c r="J56" t="str" cm="1">
        <f t="array" ref="J56">firstword(C56)</f>
        <v>Enoch</v>
      </c>
      <c r="K56" t="str" cm="1">
        <f t="array" ref="K56">lastword(C56)</f>
        <v>Poor</v>
      </c>
      <c r="L56" t="str">
        <f t="shared" si="1"/>
        <v>1736</v>
      </c>
      <c r="M56" t="str">
        <f t="shared" si="2"/>
        <v>1780</v>
      </c>
    </row>
    <row r="57" spans="1:13" x14ac:dyDescent="0.3">
      <c r="A57" t="s">
        <v>2577</v>
      </c>
      <c r="B57" t="b">
        <f t="shared" si="0"/>
        <v>1</v>
      </c>
      <c r="C57" t="s">
        <v>2577</v>
      </c>
      <c r="D57" t="s">
        <v>2578</v>
      </c>
      <c r="E57" t="s">
        <v>3292</v>
      </c>
      <c r="F57" t="s">
        <v>3293</v>
      </c>
      <c r="G57" t="s">
        <v>3294</v>
      </c>
      <c r="H57" t="s">
        <v>3295</v>
      </c>
      <c r="I57" t="s">
        <v>4039</v>
      </c>
      <c r="J57" t="str" cm="1">
        <f t="array" ref="J57">firstword(C57)</f>
        <v>Esek</v>
      </c>
      <c r="K57" t="str" cm="1">
        <f t="array" ref="K57">lastword(C57)</f>
        <v>Hopkins</v>
      </c>
      <c r="L57" t="str">
        <f t="shared" si="1"/>
        <v>1718</v>
      </c>
      <c r="M57" t="str">
        <f t="shared" si="2"/>
        <v>1802</v>
      </c>
    </row>
    <row r="58" spans="1:13" x14ac:dyDescent="0.3">
      <c r="A58" t="s">
        <v>2579</v>
      </c>
      <c r="B58" t="b">
        <f t="shared" si="0"/>
        <v>1</v>
      </c>
      <c r="C58" t="s">
        <v>2579</v>
      </c>
      <c r="D58" t="s">
        <v>2580</v>
      </c>
      <c r="E58" t="s">
        <v>3296</v>
      </c>
      <c r="F58" t="s">
        <v>3297</v>
      </c>
      <c r="G58" t="s">
        <v>3298</v>
      </c>
      <c r="H58" t="s">
        <v>3299</v>
      </c>
      <c r="I58" t="s">
        <v>3957</v>
      </c>
      <c r="J58" t="str" cm="1">
        <f t="array" ref="J58">firstword(C58)</f>
        <v>Ethan</v>
      </c>
      <c r="K58" t="str" cm="1">
        <f t="array" ref="K58">lastword(C58)</f>
        <v>Allen</v>
      </c>
      <c r="L58" t="str">
        <f t="shared" si="1"/>
        <v>1738</v>
      </c>
      <c r="M58" t="str">
        <f t="shared" si="2"/>
        <v>1789</v>
      </c>
    </row>
    <row r="59" spans="1:13" x14ac:dyDescent="0.3">
      <c r="A59" t="s">
        <v>2581</v>
      </c>
      <c r="B59" t="b">
        <f t="shared" si="0"/>
        <v>1</v>
      </c>
      <c r="C59" t="s">
        <v>2581</v>
      </c>
      <c r="D59" t="s">
        <v>2582</v>
      </c>
      <c r="E59">
        <v>1726</v>
      </c>
      <c r="F59" t="s">
        <v>3300</v>
      </c>
      <c r="H59" t="s">
        <v>3301</v>
      </c>
      <c r="I59" t="s">
        <v>3958</v>
      </c>
      <c r="J59" t="str" cm="1">
        <f t="array" ref="J59">firstword(C59)</f>
        <v>Eyre</v>
      </c>
      <c r="K59" t="str" cm="1">
        <f t="array" ref="K59">lastword(C59)</f>
        <v>Coote</v>
      </c>
      <c r="L59" t="str">
        <f t="shared" si="1"/>
        <v>1726</v>
      </c>
      <c r="M59" t="str">
        <f t="shared" si="2"/>
        <v/>
      </c>
    </row>
    <row r="60" spans="1:13" x14ac:dyDescent="0.3">
      <c r="A60" t="s">
        <v>2583</v>
      </c>
      <c r="B60" t="b">
        <f t="shared" si="0"/>
        <v>1</v>
      </c>
      <c r="C60" t="s">
        <v>2583</v>
      </c>
      <c r="D60" t="s">
        <v>2584</v>
      </c>
      <c r="E60">
        <v>1732</v>
      </c>
      <c r="F60" t="s">
        <v>3303</v>
      </c>
      <c r="G60" t="s">
        <v>3302</v>
      </c>
      <c r="H60" t="s">
        <v>3303</v>
      </c>
      <c r="I60" t="s">
        <v>3304</v>
      </c>
      <c r="J60" t="str" cm="1">
        <f t="array" ref="J60">firstword(C60)</f>
        <v>Francis</v>
      </c>
      <c r="K60" t="str" cm="1">
        <f t="array" ref="K60">lastword(C60)</f>
        <v>Marion</v>
      </c>
      <c r="L60" t="str">
        <f t="shared" si="1"/>
        <v>1732</v>
      </c>
      <c r="M60" t="str">
        <f t="shared" si="2"/>
        <v>1795</v>
      </c>
    </row>
    <row r="61" spans="1:13" x14ac:dyDescent="0.3">
      <c r="A61" t="s">
        <v>2585</v>
      </c>
      <c r="B61" t="b">
        <f t="shared" si="0"/>
        <v>1</v>
      </c>
      <c r="C61" t="s">
        <v>2585</v>
      </c>
      <c r="D61" t="s">
        <v>2586</v>
      </c>
      <c r="E61">
        <v>1717</v>
      </c>
      <c r="G61" t="s">
        <v>3305</v>
      </c>
      <c r="I61" t="s">
        <v>3959</v>
      </c>
      <c r="J61" t="str" cm="1">
        <f t="array" ref="J61">firstword(C61)</f>
        <v>Francis</v>
      </c>
      <c r="K61" t="str" cm="1">
        <f t="array" ref="K61">lastword(C61)</f>
        <v>McLean</v>
      </c>
      <c r="L61" t="str">
        <f t="shared" si="1"/>
        <v>1717</v>
      </c>
      <c r="M61" t="str">
        <f t="shared" si="2"/>
        <v>1781</v>
      </c>
    </row>
    <row r="62" spans="1:13" x14ac:dyDescent="0.3">
      <c r="A62" t="s">
        <v>2587</v>
      </c>
      <c r="B62" t="b">
        <f t="shared" si="0"/>
        <v>1</v>
      </c>
      <c r="C62" t="s">
        <v>2587</v>
      </c>
      <c r="D62" t="s">
        <v>2588</v>
      </c>
      <c r="E62">
        <v>1742</v>
      </c>
      <c r="F62" t="s">
        <v>3306</v>
      </c>
      <c r="G62" t="s">
        <v>3307</v>
      </c>
      <c r="H62" t="s">
        <v>3308</v>
      </c>
      <c r="I62" t="s">
        <v>3309</v>
      </c>
      <c r="J62" t="str" cm="1">
        <f t="array" ref="J62">firstword(C62)</f>
        <v>Francis</v>
      </c>
      <c r="K62" t="str" cm="1">
        <f t="array" ref="K62">lastword(C62)</f>
        <v>Nash</v>
      </c>
      <c r="L62" t="str">
        <f t="shared" si="1"/>
        <v>1742</v>
      </c>
      <c r="M62" t="str">
        <f t="shared" si="2"/>
        <v>1777</v>
      </c>
    </row>
    <row r="63" spans="1:13" x14ac:dyDescent="0.3">
      <c r="A63" t="s">
        <v>2589</v>
      </c>
      <c r="B63" t="b">
        <f t="shared" si="0"/>
        <v>1</v>
      </c>
      <c r="C63" t="s">
        <v>2589</v>
      </c>
      <c r="D63" t="s">
        <v>2590</v>
      </c>
      <c r="E63" t="s">
        <v>3310</v>
      </c>
      <c r="F63" t="s">
        <v>3311</v>
      </c>
      <c r="G63" t="s">
        <v>3312</v>
      </c>
      <c r="H63" t="s">
        <v>3313</v>
      </c>
      <c r="I63" t="s">
        <v>3960</v>
      </c>
      <c r="J63" t="str" cm="1">
        <f t="array" ref="J63">firstword(C63)</f>
        <v>Francis</v>
      </c>
      <c r="K63" t="str" cm="1">
        <f t="array" ref="K63">lastword(C63)</f>
        <v>Rawdon-Hastings</v>
      </c>
      <c r="L63" t="str">
        <f t="shared" si="1"/>
        <v>1754</v>
      </c>
      <c r="M63" t="str">
        <f t="shared" si="2"/>
        <v>1826</v>
      </c>
    </row>
    <row r="64" spans="1:13" x14ac:dyDescent="0.3">
      <c r="A64" t="s">
        <v>2591</v>
      </c>
      <c r="B64" t="b">
        <f t="shared" si="0"/>
        <v>1</v>
      </c>
      <c r="C64" t="s">
        <v>2591</v>
      </c>
      <c r="D64" t="s">
        <v>2592</v>
      </c>
      <c r="G64">
        <v>1791</v>
      </c>
      <c r="I64" t="s">
        <v>3314</v>
      </c>
      <c r="J64" t="str" cm="1">
        <f t="array" ref="J64">firstword(C64)</f>
        <v>Francis</v>
      </c>
      <c r="K64" t="str" cm="1">
        <f t="array" ref="K64">lastword(C64)</f>
        <v>Smith</v>
      </c>
      <c r="L64" t="str">
        <f t="shared" si="1"/>
        <v/>
      </c>
      <c r="M64" t="str">
        <f t="shared" si="2"/>
        <v>1791</v>
      </c>
    </row>
    <row r="65" spans="1:13" x14ac:dyDescent="0.3">
      <c r="A65" t="s">
        <v>2593</v>
      </c>
      <c r="B65" t="b">
        <f t="shared" si="0"/>
        <v>1</v>
      </c>
      <c r="C65" t="s">
        <v>2593</v>
      </c>
      <c r="D65" t="s">
        <v>2594</v>
      </c>
      <c r="E65" t="s">
        <v>3315</v>
      </c>
      <c r="G65" t="s">
        <v>3316</v>
      </c>
      <c r="H65" t="s">
        <v>3317</v>
      </c>
      <c r="I65" t="s">
        <v>3318</v>
      </c>
      <c r="J65" t="str" cm="1">
        <f t="array" ref="J65">firstword(C65)</f>
        <v>François</v>
      </c>
      <c r="K65" t="str" cm="1">
        <f t="array" ref="K65">lastword(C65)</f>
        <v>Grasse</v>
      </c>
      <c r="L65" t="str">
        <f t="shared" si="1"/>
        <v>1722</v>
      </c>
      <c r="M65" t="str">
        <f t="shared" si="2"/>
        <v>1788</v>
      </c>
    </row>
    <row r="66" spans="1:13" x14ac:dyDescent="0.3">
      <c r="A66" t="s">
        <v>2595</v>
      </c>
      <c r="B66" t="b">
        <f t="shared" si="0"/>
        <v>1</v>
      </c>
      <c r="C66" t="s">
        <v>2595</v>
      </c>
      <c r="D66" t="s">
        <v>2596</v>
      </c>
      <c r="E66" t="s">
        <v>3319</v>
      </c>
      <c r="G66" t="s">
        <v>3320</v>
      </c>
      <c r="I66" t="s">
        <v>3961</v>
      </c>
      <c r="J66" t="str" cm="1">
        <f t="array" ref="J66">firstword(C66)</f>
        <v>François-Aymar</v>
      </c>
      <c r="K66" t="str" cm="1">
        <f t="array" ref="K66">lastword(C66)</f>
        <v>Monteil</v>
      </c>
      <c r="L66" t="str">
        <f t="shared" si="1"/>
        <v>725 </v>
      </c>
      <c r="M66" t="str">
        <f t="shared" si="2"/>
        <v>1787</v>
      </c>
    </row>
    <row r="67" spans="1:13" x14ac:dyDescent="0.3">
      <c r="A67" t="s">
        <v>2597</v>
      </c>
      <c r="B67" t="b">
        <f t="shared" ref="B67:B130" si="3">A67=C67</f>
        <v>1</v>
      </c>
      <c r="C67" t="s">
        <v>2597</v>
      </c>
      <c r="D67" t="s">
        <v>2598</v>
      </c>
      <c r="E67" t="s">
        <v>3321</v>
      </c>
      <c r="F67" t="s">
        <v>3218</v>
      </c>
      <c r="G67" t="s">
        <v>3322</v>
      </c>
      <c r="H67" t="s">
        <v>3218</v>
      </c>
      <c r="I67" t="s">
        <v>3962</v>
      </c>
      <c r="J67" t="str" cm="1">
        <f t="array" ref="J67">firstword(C67)</f>
        <v>François-Jean</v>
      </c>
      <c r="K67" t="str" cm="1">
        <f t="array" ref="K67">lastword(C67)</f>
        <v>Beauvoir</v>
      </c>
      <c r="L67" t="str">
        <f t="shared" ref="L67:L130" si="4">RIGHT(E67,4)</f>
        <v>1734</v>
      </c>
      <c r="M67" t="str">
        <f t="shared" ref="M67:M130" si="5">RIGHT(G67,4)</f>
        <v>1788</v>
      </c>
    </row>
    <row r="68" spans="1:13" x14ac:dyDescent="0.3">
      <c r="A68" t="s">
        <v>2599</v>
      </c>
      <c r="B68" t="b">
        <f t="shared" si="3"/>
        <v>1</v>
      </c>
      <c r="C68" t="s">
        <v>2599</v>
      </c>
      <c r="D68" t="s">
        <v>2600</v>
      </c>
      <c r="E68" t="s">
        <v>3323</v>
      </c>
      <c r="F68" t="s">
        <v>3324</v>
      </c>
      <c r="G68" t="s">
        <v>3325</v>
      </c>
      <c r="H68" t="s">
        <v>3324</v>
      </c>
      <c r="I68" t="s">
        <v>3963</v>
      </c>
      <c r="J68" t="str" cm="1">
        <f t="array" ref="J68">firstword(C68)</f>
        <v>Frederick</v>
      </c>
      <c r="K68" t="str" cm="1">
        <f t="array" ref="K68">lastword(C68)</f>
        <v>Haldimand</v>
      </c>
      <c r="L68" t="str">
        <f t="shared" si="4"/>
        <v>1718</v>
      </c>
      <c r="M68" t="str">
        <f t="shared" si="5"/>
        <v>1791</v>
      </c>
    </row>
    <row r="69" spans="1:13" x14ac:dyDescent="0.3">
      <c r="A69" t="s">
        <v>2601</v>
      </c>
      <c r="B69" t="b">
        <f t="shared" si="3"/>
        <v>1</v>
      </c>
      <c r="C69" t="s">
        <v>2601</v>
      </c>
      <c r="D69" t="s">
        <v>2602</v>
      </c>
      <c r="E69" t="s">
        <v>3326</v>
      </c>
      <c r="F69" t="s">
        <v>3327</v>
      </c>
      <c r="G69" t="s">
        <v>3328</v>
      </c>
      <c r="H69" t="s">
        <v>3329</v>
      </c>
      <c r="I69" t="s">
        <v>3330</v>
      </c>
      <c r="J69" t="str" cm="1">
        <f t="array" ref="J69">firstword(C69)</f>
        <v>Frederick</v>
      </c>
      <c r="K69" t="str" cm="1">
        <f t="array" ref="K69">lastword(C69)</f>
        <v>North</v>
      </c>
      <c r="L69" t="str">
        <f t="shared" si="4"/>
        <v>1732</v>
      </c>
      <c r="M69" t="str">
        <f t="shared" si="5"/>
        <v>1792</v>
      </c>
    </row>
    <row r="70" spans="1:13" x14ac:dyDescent="0.3">
      <c r="A70" t="s">
        <v>2603</v>
      </c>
      <c r="B70" t="b">
        <f t="shared" si="3"/>
        <v>1</v>
      </c>
      <c r="C70" t="s">
        <v>2603</v>
      </c>
      <c r="D70" t="s">
        <v>2604</v>
      </c>
      <c r="E70">
        <v>1740</v>
      </c>
      <c r="G70">
        <v>1776</v>
      </c>
      <c r="H70" t="s">
        <v>3331</v>
      </c>
      <c r="I70" t="s">
        <v>3332</v>
      </c>
      <c r="J70" t="str" cm="1">
        <f t="array" ref="J70">firstword(C70)</f>
        <v>Frederick</v>
      </c>
      <c r="K70" t="str" cm="1">
        <f t="array" ref="K70">lastword(C70)</f>
        <v>Woedtke</v>
      </c>
      <c r="L70" t="str">
        <f t="shared" si="4"/>
        <v>1740</v>
      </c>
      <c r="M70" t="str">
        <f t="shared" si="5"/>
        <v>1776</v>
      </c>
    </row>
    <row r="71" spans="1:13" x14ac:dyDescent="0.3">
      <c r="A71" t="s">
        <v>2605</v>
      </c>
      <c r="B71" t="b">
        <f t="shared" si="3"/>
        <v>1</v>
      </c>
      <c r="C71" t="s">
        <v>2605</v>
      </c>
      <c r="D71" t="s">
        <v>2606</v>
      </c>
      <c r="E71" t="s">
        <v>3333</v>
      </c>
      <c r="F71" t="s">
        <v>3334</v>
      </c>
      <c r="G71" t="s">
        <v>3335</v>
      </c>
      <c r="H71" t="s">
        <v>3336</v>
      </c>
      <c r="I71" t="s">
        <v>3337</v>
      </c>
      <c r="J71" t="str" cm="1">
        <f t="array" ref="J71">firstword(C71)</f>
        <v>Friedrich</v>
      </c>
      <c r="K71" t="str" cm="1">
        <f t="array" ref="K71">lastword(C71)</f>
        <v>Riedesel</v>
      </c>
      <c r="L71" t="str">
        <f t="shared" si="4"/>
        <v>1738</v>
      </c>
      <c r="M71" t="str">
        <f t="shared" si="5"/>
        <v>1800</v>
      </c>
    </row>
    <row r="72" spans="1:13" x14ac:dyDescent="0.3">
      <c r="A72" t="s">
        <v>2607</v>
      </c>
      <c r="B72" t="b">
        <f t="shared" si="3"/>
        <v>1</v>
      </c>
      <c r="C72" t="s">
        <v>2607</v>
      </c>
      <c r="D72" t="s">
        <v>2608</v>
      </c>
      <c r="E72" t="s">
        <v>3338</v>
      </c>
      <c r="G72" t="s">
        <v>3339</v>
      </c>
      <c r="I72" t="s">
        <v>3964</v>
      </c>
      <c r="J72" t="str" cm="1">
        <f t="array" ref="J72">firstword(C72)</f>
        <v>Friedrich</v>
      </c>
      <c r="K72" t="str" cm="1">
        <f t="array" ref="K72">lastword(C72)</f>
        <v>Salzburg</v>
      </c>
      <c r="L72" t="str">
        <f t="shared" si="4"/>
        <v>1734</v>
      </c>
      <c r="M72" t="str">
        <f t="shared" si="5"/>
        <v>1798</v>
      </c>
    </row>
    <row r="73" spans="1:13" x14ac:dyDescent="0.3">
      <c r="A73" t="s">
        <v>2609</v>
      </c>
      <c r="B73" t="b">
        <f t="shared" si="3"/>
        <v>1</v>
      </c>
      <c r="C73" t="s">
        <v>2609</v>
      </c>
      <c r="D73" t="s">
        <v>2610</v>
      </c>
      <c r="I73" t="s">
        <v>3340</v>
      </c>
      <c r="J73" t="str" cm="1">
        <f t="array" ref="J73">firstword(C73)</f>
        <v>Friedrich</v>
      </c>
      <c r="K73" t="str" cm="1">
        <f t="array" ref="K73">lastword(C73)</f>
        <v>Eyb</v>
      </c>
      <c r="L73" t="str">
        <f t="shared" si="4"/>
        <v/>
      </c>
      <c r="M73" t="str">
        <f t="shared" si="5"/>
        <v/>
      </c>
    </row>
    <row r="74" spans="1:13" x14ac:dyDescent="0.3">
      <c r="A74" t="s">
        <v>2611</v>
      </c>
      <c r="B74" t="b">
        <f t="shared" si="3"/>
        <v>1</v>
      </c>
      <c r="C74" t="s">
        <v>2611</v>
      </c>
      <c r="D74" t="s">
        <v>2612</v>
      </c>
      <c r="E74" t="s">
        <v>3341</v>
      </c>
      <c r="F74" t="s">
        <v>3344</v>
      </c>
      <c r="G74" t="s">
        <v>3343</v>
      </c>
      <c r="H74" t="s">
        <v>3345</v>
      </c>
      <c r="I74" t="s">
        <v>3965</v>
      </c>
      <c r="J74" t="str" cm="1">
        <f t="array" ref="J74">firstword(C74)</f>
        <v>Friedrich</v>
      </c>
      <c r="K74" t="str" cm="1">
        <f t="array" ref="K74">lastword(C74)</f>
        <v>Lossberg</v>
      </c>
      <c r="L74" t="str">
        <f t="shared" si="4"/>
        <v>1720</v>
      </c>
      <c r="M74" t="str">
        <f t="shared" si="5"/>
        <v>1800</v>
      </c>
    </row>
    <row r="75" spans="1:13" x14ac:dyDescent="0.3">
      <c r="A75" t="s">
        <v>2613</v>
      </c>
      <c r="B75" t="b">
        <f t="shared" si="3"/>
        <v>1</v>
      </c>
      <c r="C75" t="s">
        <v>2613</v>
      </c>
      <c r="D75" t="s">
        <v>2614</v>
      </c>
      <c r="E75" t="s">
        <v>3346</v>
      </c>
      <c r="F75" t="s">
        <v>3347</v>
      </c>
      <c r="G75" t="s">
        <v>3348</v>
      </c>
      <c r="H75" s="27" t="s">
        <v>4038</v>
      </c>
      <c r="I75" t="s">
        <v>3966</v>
      </c>
      <c r="J75" t="str" cm="1">
        <f t="array" ref="J75">firstword(C75)</f>
        <v>Friedrich</v>
      </c>
      <c r="K75" t="str" cm="1">
        <f t="array" ref="K75">lastword(C75)</f>
        <v>Steuben</v>
      </c>
      <c r="L75" t="str">
        <f t="shared" si="4"/>
        <v>1730</v>
      </c>
      <c r="M75" t="str">
        <f t="shared" si="5"/>
        <v>1794</v>
      </c>
    </row>
    <row r="76" spans="1:13" x14ac:dyDescent="0.3">
      <c r="A76" t="s">
        <v>2615</v>
      </c>
      <c r="B76" t="b">
        <f t="shared" si="3"/>
        <v>1</v>
      </c>
      <c r="C76" t="s">
        <v>2615</v>
      </c>
      <c r="D76" t="s">
        <v>2616</v>
      </c>
      <c r="E76">
        <v>1740</v>
      </c>
      <c r="H76">
        <v>1796</v>
      </c>
      <c r="I76" t="s">
        <v>3349</v>
      </c>
      <c r="J76" t="str" cm="1">
        <f t="array" ref="J76">firstword(C76)</f>
        <v>Georg</v>
      </c>
      <c r="K76" t="str" cm="1">
        <f t="array" ref="K76">lastword(C76)</f>
        <v>Pausch</v>
      </c>
      <c r="L76" t="str">
        <f t="shared" si="4"/>
        <v>1740</v>
      </c>
      <c r="M76" t="str">
        <f t="shared" si="5"/>
        <v/>
      </c>
    </row>
    <row r="77" spans="1:13" x14ac:dyDescent="0.3">
      <c r="A77" t="s">
        <v>2617</v>
      </c>
      <c r="B77" t="b">
        <f t="shared" si="3"/>
        <v>1</v>
      </c>
      <c r="C77" t="s">
        <v>2617</v>
      </c>
      <c r="D77" t="s">
        <v>2618</v>
      </c>
      <c r="E77" t="s">
        <v>3350</v>
      </c>
      <c r="F77" t="s">
        <v>3352</v>
      </c>
      <c r="G77" t="s">
        <v>3351</v>
      </c>
      <c r="H77" t="s">
        <v>3353</v>
      </c>
      <c r="I77" t="s">
        <v>3354</v>
      </c>
      <c r="J77" t="str" cm="1">
        <f t="array" ref="J77">firstword(C77)</f>
        <v>George</v>
      </c>
      <c r="K77" t="str" cm="1">
        <f t="array" ref="K77">lastword(C77)</f>
        <v>Rodney</v>
      </c>
      <c r="L77" t="str">
        <f t="shared" si="4"/>
        <v>1718</v>
      </c>
      <c r="M77" t="str">
        <f t="shared" si="5"/>
        <v>1792</v>
      </c>
    </row>
    <row r="78" spans="1:13" x14ac:dyDescent="0.3">
      <c r="A78" t="s">
        <v>2619</v>
      </c>
      <c r="B78" t="b">
        <f t="shared" si="3"/>
        <v>1</v>
      </c>
      <c r="C78" t="s">
        <v>2619</v>
      </c>
      <c r="D78" t="s">
        <v>2620</v>
      </c>
      <c r="E78" t="s">
        <v>3355</v>
      </c>
      <c r="F78" t="s">
        <v>3356</v>
      </c>
      <c r="G78" t="s">
        <v>3357</v>
      </c>
      <c r="H78" t="s">
        <v>3358</v>
      </c>
      <c r="I78" t="s">
        <v>3967</v>
      </c>
      <c r="J78" t="str" cm="1">
        <f t="array" ref="J78">firstword(C78)</f>
        <v>George</v>
      </c>
      <c r="K78" t="str" cm="1">
        <f t="array" ref="K78">lastword(C78)</f>
        <v>Clinton</v>
      </c>
      <c r="L78" t="str">
        <f t="shared" si="4"/>
        <v>1739</v>
      </c>
      <c r="M78" t="str">
        <f t="shared" si="5"/>
        <v>1812</v>
      </c>
    </row>
    <row r="79" spans="1:13" x14ac:dyDescent="0.3">
      <c r="A79" t="s">
        <v>2621</v>
      </c>
      <c r="B79" t="b">
        <f t="shared" si="3"/>
        <v>1</v>
      </c>
      <c r="C79" t="s">
        <v>2621</v>
      </c>
      <c r="D79" t="s">
        <v>2622</v>
      </c>
      <c r="E79" t="s">
        <v>3359</v>
      </c>
      <c r="F79" t="s">
        <v>3153</v>
      </c>
      <c r="G79" t="s">
        <v>3360</v>
      </c>
      <c r="H79" t="s">
        <v>3153</v>
      </c>
      <c r="I79" t="s">
        <v>3361</v>
      </c>
      <c r="J79" t="str" cm="1">
        <f t="array" ref="J79">firstword(C79)</f>
        <v>George</v>
      </c>
      <c r="K79" t="str" cm="1">
        <f t="array" ref="K79">lastword(C79)</f>
        <v>Collier</v>
      </c>
      <c r="L79" t="str">
        <f t="shared" si="4"/>
        <v>1732</v>
      </c>
      <c r="M79" t="str">
        <f t="shared" si="5"/>
        <v>1795</v>
      </c>
    </row>
    <row r="80" spans="1:13" x14ac:dyDescent="0.3">
      <c r="A80" t="s">
        <v>2623</v>
      </c>
      <c r="B80" t="b">
        <f t="shared" si="3"/>
        <v>1</v>
      </c>
      <c r="C80" t="s">
        <v>2623</v>
      </c>
      <c r="D80" t="s">
        <v>2624</v>
      </c>
      <c r="E80">
        <v>1733</v>
      </c>
      <c r="G80">
        <v>1819</v>
      </c>
      <c r="H80" t="s">
        <v>3362</v>
      </c>
      <c r="I80" t="s">
        <v>3363</v>
      </c>
      <c r="J80" t="str" cm="1">
        <f t="array" ref="J80">firstword(C80)</f>
        <v>George</v>
      </c>
      <c r="K80" t="str" cm="1">
        <f t="array" ref="K80">lastword(C80)</f>
        <v>Garth</v>
      </c>
      <c r="L80" t="str">
        <f t="shared" si="4"/>
        <v>1733</v>
      </c>
      <c r="M80" t="str">
        <f t="shared" si="5"/>
        <v>1819</v>
      </c>
    </row>
    <row r="81" spans="1:13" x14ac:dyDescent="0.3">
      <c r="A81" t="s">
        <v>2625</v>
      </c>
      <c r="B81" t="b">
        <f t="shared" si="3"/>
        <v>1</v>
      </c>
      <c r="C81" t="s">
        <v>2625</v>
      </c>
      <c r="D81" t="s">
        <v>2626</v>
      </c>
      <c r="E81" t="s">
        <v>3364</v>
      </c>
      <c r="G81" t="s">
        <v>3365</v>
      </c>
      <c r="H81" t="s">
        <v>3366</v>
      </c>
      <c r="I81" t="s">
        <v>3367</v>
      </c>
      <c r="J81" t="str" cm="1">
        <f t="array" ref="J81">firstword(C81)</f>
        <v>George</v>
      </c>
      <c r="K81" t="str" cm="1">
        <f t="array" ref="K81">lastword(C81)</f>
        <v>Germain</v>
      </c>
      <c r="L81" t="str">
        <f t="shared" si="4"/>
        <v>1716</v>
      </c>
      <c r="M81" t="str">
        <f t="shared" si="5"/>
        <v>1785</v>
      </c>
    </row>
    <row r="82" spans="1:13" x14ac:dyDescent="0.3">
      <c r="A82" t="s">
        <v>2627</v>
      </c>
      <c r="B82" t="b">
        <f t="shared" si="3"/>
        <v>1</v>
      </c>
      <c r="C82" t="s">
        <v>2627</v>
      </c>
      <c r="D82" t="s">
        <v>2628</v>
      </c>
      <c r="E82" t="s">
        <v>3368</v>
      </c>
      <c r="F82" t="s">
        <v>3369</v>
      </c>
      <c r="G82" t="s">
        <v>3370</v>
      </c>
      <c r="H82" t="s">
        <v>3371</v>
      </c>
      <c r="I82" t="s">
        <v>3372</v>
      </c>
      <c r="J82" t="str" cm="1">
        <f t="array" ref="J82">firstword(C82)</f>
        <v>George</v>
      </c>
      <c r="K82" t="str" cm="1">
        <f t="array" ref="K82">lastword(C82)</f>
        <v>Mathews</v>
      </c>
      <c r="L82" t="str">
        <f t="shared" si="4"/>
        <v>1739</v>
      </c>
      <c r="M82" t="str">
        <f t="shared" si="5"/>
        <v>1812</v>
      </c>
    </row>
    <row r="83" spans="1:13" x14ac:dyDescent="0.3">
      <c r="A83" t="s">
        <v>2629</v>
      </c>
      <c r="B83" t="b">
        <f t="shared" si="3"/>
        <v>1</v>
      </c>
      <c r="C83" t="s">
        <v>2629</v>
      </c>
      <c r="D83" t="s">
        <v>2630</v>
      </c>
      <c r="E83" t="s">
        <v>3373</v>
      </c>
      <c r="F83" t="s">
        <v>3374</v>
      </c>
      <c r="G83" t="s">
        <v>3375</v>
      </c>
      <c r="H83" t="s">
        <v>3376</v>
      </c>
      <c r="I83" t="s">
        <v>3377</v>
      </c>
      <c r="J83" t="str" cm="1">
        <f t="array" ref="J83">firstword(C83)</f>
        <v>George</v>
      </c>
      <c r="K83" t="str" cm="1">
        <f t="array" ref="K83">lastword(C83)</f>
        <v>Clark</v>
      </c>
      <c r="L83" t="str">
        <f t="shared" si="4"/>
        <v>1752</v>
      </c>
      <c r="M83" t="str">
        <f t="shared" si="5"/>
        <v>1818</v>
      </c>
    </row>
    <row r="84" spans="1:13" x14ac:dyDescent="0.3">
      <c r="A84" t="s">
        <v>2631</v>
      </c>
      <c r="B84" t="b">
        <f t="shared" si="3"/>
        <v>1</v>
      </c>
      <c r="C84" t="s">
        <v>2631</v>
      </c>
      <c r="D84" t="s">
        <v>2632</v>
      </c>
      <c r="E84">
        <v>1734</v>
      </c>
      <c r="G84">
        <v>1793</v>
      </c>
      <c r="I84" t="s">
        <v>3968</v>
      </c>
      <c r="J84" t="str" cm="1">
        <f t="array" ref="J84">firstword(C84)</f>
        <v>George</v>
      </c>
      <c r="K84" t="str" cm="1">
        <f t="array" ref="K84">lastword(C84)</f>
        <v>Weedon</v>
      </c>
      <c r="L84" t="str">
        <f t="shared" si="4"/>
        <v>1734</v>
      </c>
      <c r="M84" t="str">
        <f t="shared" si="5"/>
        <v>1793</v>
      </c>
    </row>
    <row r="85" spans="1:13" x14ac:dyDescent="0.3">
      <c r="A85" t="s">
        <v>2633</v>
      </c>
      <c r="B85" t="b">
        <f t="shared" si="3"/>
        <v>1</v>
      </c>
      <c r="C85" t="s">
        <v>2633</v>
      </c>
      <c r="D85" t="s">
        <v>2634</v>
      </c>
      <c r="E85" t="s">
        <v>3378</v>
      </c>
      <c r="F85" t="s">
        <v>3379</v>
      </c>
      <c r="G85" t="s">
        <v>3380</v>
      </c>
      <c r="H85" t="s">
        <v>3156</v>
      </c>
      <c r="I85" t="s">
        <v>3969</v>
      </c>
      <c r="J85" t="str" cm="1">
        <f t="array" ref="J85">firstword(C85)</f>
        <v>Gilbert</v>
      </c>
      <c r="K85" t="str" cm="1">
        <f t="array" ref="K85">lastword(C85)</f>
        <v>Lafayette</v>
      </c>
      <c r="L85" t="str">
        <f t="shared" si="4"/>
        <v>1757</v>
      </c>
      <c r="M85" t="str">
        <f t="shared" si="5"/>
        <v>1834</v>
      </c>
    </row>
    <row r="86" spans="1:13" x14ac:dyDescent="0.3">
      <c r="A86" t="s">
        <v>2635</v>
      </c>
      <c r="B86" t="b">
        <f t="shared" si="3"/>
        <v>1</v>
      </c>
      <c r="C86" t="s">
        <v>2635</v>
      </c>
      <c r="D86" t="s">
        <v>2636</v>
      </c>
      <c r="E86">
        <v>1732</v>
      </c>
      <c r="G86" t="s">
        <v>3381</v>
      </c>
      <c r="I86" t="s">
        <v>3382</v>
      </c>
      <c r="J86" t="str" cm="1">
        <f t="array" ref="J86">firstword(C86)</f>
        <v>Gold</v>
      </c>
      <c r="K86" t="str" cm="1">
        <f t="array" ref="K86">lastword(C86)</f>
        <v>Silliman</v>
      </c>
      <c r="L86" t="str">
        <f t="shared" si="4"/>
        <v>1732</v>
      </c>
      <c r="M86" t="str">
        <f t="shared" si="5"/>
        <v>1790</v>
      </c>
    </row>
    <row r="87" spans="1:13" x14ac:dyDescent="0.3">
      <c r="A87" t="s">
        <v>2637</v>
      </c>
      <c r="B87" t="b">
        <f t="shared" si="3"/>
        <v>1</v>
      </c>
      <c r="C87" t="s">
        <v>2637</v>
      </c>
      <c r="D87" t="s">
        <v>2638</v>
      </c>
      <c r="E87">
        <v>1721</v>
      </c>
      <c r="F87" t="s">
        <v>3127</v>
      </c>
      <c r="G87" t="s">
        <v>3383</v>
      </c>
      <c r="H87" t="s">
        <v>3384</v>
      </c>
      <c r="I87" t="s">
        <v>3385</v>
      </c>
      <c r="J87" t="str" cm="1">
        <f t="array" ref="J87">firstword(C87)</f>
        <v>Griffith</v>
      </c>
      <c r="K87" t="str" cm="1">
        <f t="array" ref="K87">lastword(C87)</f>
        <v>Rutherford</v>
      </c>
      <c r="L87" t="str">
        <f t="shared" si="4"/>
        <v>1721</v>
      </c>
      <c r="M87" t="str">
        <f t="shared" si="5"/>
        <v>1805</v>
      </c>
    </row>
    <row r="88" spans="1:13" x14ac:dyDescent="0.3">
      <c r="A88" t="s">
        <v>2639</v>
      </c>
      <c r="B88" t="b">
        <f t="shared" si="3"/>
        <v>1</v>
      </c>
      <c r="C88" t="s">
        <v>2639</v>
      </c>
      <c r="D88" t="s">
        <v>2640</v>
      </c>
      <c r="E88" t="s">
        <v>3386</v>
      </c>
      <c r="F88" t="s">
        <v>3387</v>
      </c>
      <c r="G88" t="s">
        <v>3388</v>
      </c>
      <c r="H88" t="s">
        <v>3389</v>
      </c>
      <c r="I88" t="s">
        <v>3970</v>
      </c>
      <c r="J88" t="str" cm="1">
        <f t="array" ref="J88">firstword(C88)</f>
        <v>Guy</v>
      </c>
      <c r="K88" t="str" cm="1">
        <f t="array" ref="K88">lastword(C88)</f>
        <v>Carleton</v>
      </c>
      <c r="L88" t="str">
        <f t="shared" si="4"/>
        <v>1724</v>
      </c>
      <c r="M88" t="str">
        <f t="shared" si="5"/>
        <v>1808</v>
      </c>
    </row>
    <row r="89" spans="1:13" x14ac:dyDescent="0.3">
      <c r="A89" t="s">
        <v>2641</v>
      </c>
      <c r="B89" t="b">
        <f t="shared" si="3"/>
        <v>1</v>
      </c>
      <c r="C89" t="s">
        <v>2641</v>
      </c>
      <c r="D89" t="s">
        <v>2642</v>
      </c>
      <c r="E89">
        <v>1726</v>
      </c>
      <c r="F89" t="s">
        <v>3390</v>
      </c>
      <c r="G89" t="s">
        <v>3391</v>
      </c>
      <c r="H89" t="s">
        <v>3101</v>
      </c>
      <c r="I89" t="s">
        <v>3392</v>
      </c>
      <c r="J89" t="str" cm="1">
        <f t="array" ref="J89">firstword(C89)</f>
        <v>Hector</v>
      </c>
      <c r="K89" t="str" cm="1">
        <f t="array" ref="K89">lastword(C89)</f>
        <v>Munro</v>
      </c>
      <c r="L89" t="str">
        <f t="shared" si="4"/>
        <v>1726</v>
      </c>
      <c r="M89" t="str">
        <f t="shared" si="5"/>
        <v>1805</v>
      </c>
    </row>
    <row r="90" spans="1:13" x14ac:dyDescent="0.3">
      <c r="A90" t="s">
        <v>2643</v>
      </c>
      <c r="B90" t="b">
        <f t="shared" si="3"/>
        <v>1</v>
      </c>
      <c r="C90" t="s">
        <v>2643</v>
      </c>
      <c r="D90" t="s">
        <v>2644</v>
      </c>
      <c r="J90" t="str" cm="1">
        <f t="array" ref="J90">firstword(C90)</f>
        <v>Heinrich</v>
      </c>
      <c r="K90" t="str" cm="1">
        <f t="array" ref="K90">lastword(C90)</f>
        <v>Sydow</v>
      </c>
      <c r="L90" t="str">
        <f t="shared" si="4"/>
        <v/>
      </c>
      <c r="M90" t="str">
        <f t="shared" si="5"/>
        <v/>
      </c>
    </row>
    <row r="91" spans="1:13" x14ac:dyDescent="0.3">
      <c r="A91" t="s">
        <v>2645</v>
      </c>
      <c r="B91" t="b">
        <f t="shared" si="3"/>
        <v>1</v>
      </c>
      <c r="C91" t="s">
        <v>2645</v>
      </c>
      <c r="D91" t="s">
        <v>2646</v>
      </c>
      <c r="E91" t="s">
        <v>3393</v>
      </c>
      <c r="F91" t="s">
        <v>3394</v>
      </c>
      <c r="G91" t="s">
        <v>3395</v>
      </c>
      <c r="H91" t="s">
        <v>3396</v>
      </c>
      <c r="I91" t="s">
        <v>3397</v>
      </c>
      <c r="J91" t="str" cm="1">
        <f t="array" ref="J91">firstword(C91)</f>
        <v>Henry</v>
      </c>
      <c r="K91" t="str" cm="1">
        <f t="array" ref="K91">lastword(C91)</f>
        <v>Clinton</v>
      </c>
      <c r="L91" t="str">
        <f t="shared" si="4"/>
        <v>1730</v>
      </c>
      <c r="M91" t="str">
        <f t="shared" si="5"/>
        <v>1795</v>
      </c>
    </row>
    <row r="92" spans="1:13" x14ac:dyDescent="0.3">
      <c r="A92" t="s">
        <v>2647</v>
      </c>
      <c r="B92" t="b">
        <f t="shared" si="3"/>
        <v>1</v>
      </c>
      <c r="C92" t="s">
        <v>2647</v>
      </c>
      <c r="D92" t="s">
        <v>2648</v>
      </c>
      <c r="E92" t="s">
        <v>3398</v>
      </c>
      <c r="F92" t="s">
        <v>3399</v>
      </c>
      <c r="G92" t="s">
        <v>3400</v>
      </c>
      <c r="H92" t="s">
        <v>3401</v>
      </c>
      <c r="I92" t="s">
        <v>3971</v>
      </c>
      <c r="J92" t="str" cm="1">
        <f t="array" ref="J92">firstword(C92)</f>
        <v>Henry</v>
      </c>
      <c r="K92" t="str" cm="1">
        <f t="array" ref="K92">lastword(C92)</f>
        <v>Knox</v>
      </c>
      <c r="L92" t="str">
        <f t="shared" si="4"/>
        <v>1750</v>
      </c>
      <c r="M92" t="str">
        <f t="shared" si="5"/>
        <v>1806</v>
      </c>
    </row>
    <row r="93" spans="1:13" ht="43.2" x14ac:dyDescent="0.3">
      <c r="A93" t="s">
        <v>2649</v>
      </c>
      <c r="B93" t="b">
        <f t="shared" si="3"/>
        <v>1</v>
      </c>
      <c r="C93" t="s">
        <v>2649</v>
      </c>
      <c r="D93" t="s">
        <v>2650</v>
      </c>
      <c r="E93">
        <v>1721</v>
      </c>
      <c r="F93" s="27" t="s">
        <v>3402</v>
      </c>
      <c r="G93" t="s">
        <v>3403</v>
      </c>
      <c r="H93" s="27" t="s">
        <v>3404</v>
      </c>
      <c r="I93" t="s">
        <v>3405</v>
      </c>
      <c r="J93" t="str" cm="1">
        <f t="array" ref="J93">firstword(C93)</f>
        <v>Henry</v>
      </c>
      <c r="K93" t="str" cm="1">
        <f t="array" ref="K93">lastword(C93)</f>
        <v>Conway</v>
      </c>
      <c r="L93" t="str">
        <f t="shared" si="4"/>
        <v>1721</v>
      </c>
      <c r="M93" t="str">
        <f t="shared" si="5"/>
        <v>1795</v>
      </c>
    </row>
    <row r="94" spans="1:13" x14ac:dyDescent="0.3">
      <c r="A94" t="s">
        <v>2651</v>
      </c>
      <c r="B94" t="b">
        <f t="shared" si="3"/>
        <v>1</v>
      </c>
      <c r="C94" t="s">
        <v>2651</v>
      </c>
      <c r="D94" t="s">
        <v>2652</v>
      </c>
      <c r="E94" t="s">
        <v>3406</v>
      </c>
      <c r="F94" t="s">
        <v>190</v>
      </c>
      <c r="G94" t="s">
        <v>3407</v>
      </c>
      <c r="H94" t="s">
        <v>3408</v>
      </c>
      <c r="I94" t="s">
        <v>3409</v>
      </c>
      <c r="J94" t="str" cm="1">
        <f t="array" ref="J94">firstword(C94)</f>
        <v>Henry</v>
      </c>
      <c r="K94" t="str" cm="1">
        <f t="array" ref="K94">lastword(C94)</f>
        <v>Harrington</v>
      </c>
      <c r="L94" t="str">
        <f t="shared" si="4"/>
        <v>1747</v>
      </c>
      <c r="M94" t="str">
        <f t="shared" si="5"/>
        <v>1809</v>
      </c>
    </row>
    <row r="95" spans="1:13" x14ac:dyDescent="0.3">
      <c r="A95" t="s">
        <v>2653</v>
      </c>
      <c r="B95" t="b">
        <f t="shared" si="3"/>
        <v>1</v>
      </c>
      <c r="C95" t="s">
        <v>2653</v>
      </c>
      <c r="D95" t="s">
        <v>2654</v>
      </c>
      <c r="E95" t="s">
        <v>3410</v>
      </c>
      <c r="F95" t="s">
        <v>3411</v>
      </c>
      <c r="G95" t="s">
        <v>3412</v>
      </c>
      <c r="H95" t="s">
        <v>3413</v>
      </c>
      <c r="I95" t="s">
        <v>3972</v>
      </c>
      <c r="J95" t="str" cm="1">
        <f t="array" ref="J95">firstword(C95)</f>
        <v>Horatio</v>
      </c>
      <c r="K95" t="str" cm="1">
        <f t="array" ref="K95">lastword(C95)</f>
        <v>Gates</v>
      </c>
      <c r="L95" t="str">
        <f t="shared" si="4"/>
        <v>1727</v>
      </c>
      <c r="M95" t="str">
        <f t="shared" si="5"/>
        <v>1806</v>
      </c>
    </row>
    <row r="96" spans="1:13" x14ac:dyDescent="0.3">
      <c r="A96" t="s">
        <v>2655</v>
      </c>
      <c r="B96" t="b">
        <f t="shared" si="3"/>
        <v>1</v>
      </c>
      <c r="C96" t="s">
        <v>2655</v>
      </c>
      <c r="D96" t="s">
        <v>2656</v>
      </c>
      <c r="E96" t="s">
        <v>3414</v>
      </c>
      <c r="F96" t="s">
        <v>3415</v>
      </c>
      <c r="G96" t="s">
        <v>3416</v>
      </c>
      <c r="H96" t="s">
        <v>3417</v>
      </c>
      <c r="I96" t="s">
        <v>3418</v>
      </c>
      <c r="J96" t="str" cm="1">
        <f t="array" ref="J96">firstword(C96)</f>
        <v>Hugh</v>
      </c>
      <c r="K96" t="str" cm="1">
        <f t="array" ref="K96">lastword(C96)</f>
        <v>Mercer</v>
      </c>
      <c r="L96" t="str">
        <f t="shared" si="4"/>
        <v>1726</v>
      </c>
      <c r="M96" t="str">
        <f t="shared" si="5"/>
        <v>1777</v>
      </c>
    </row>
    <row r="97" spans="1:13" x14ac:dyDescent="0.3">
      <c r="A97" t="s">
        <v>2657</v>
      </c>
      <c r="B97" t="b">
        <f t="shared" si="3"/>
        <v>1</v>
      </c>
      <c r="C97" t="s">
        <v>2657</v>
      </c>
      <c r="D97" t="s">
        <v>2658</v>
      </c>
      <c r="E97" t="s">
        <v>3419</v>
      </c>
      <c r="F97" t="s">
        <v>3420</v>
      </c>
      <c r="G97" t="s">
        <v>3421</v>
      </c>
      <c r="H97" t="s">
        <v>3420</v>
      </c>
      <c r="I97" t="s">
        <v>3973</v>
      </c>
      <c r="J97" t="str" cm="1">
        <f t="array" ref="J97">firstword(C97)</f>
        <v>Iman</v>
      </c>
      <c r="K97" t="str" cm="1">
        <f t="array" ref="K97">lastword(C97)</f>
        <v>Falck</v>
      </c>
      <c r="L97" t="str">
        <f t="shared" si="4"/>
        <v>1736</v>
      </c>
      <c r="M97" t="str">
        <f t="shared" si="5"/>
        <v>1785</v>
      </c>
    </row>
    <row r="98" spans="1:13" x14ac:dyDescent="0.3">
      <c r="A98" t="s">
        <v>2659</v>
      </c>
      <c r="B98" t="b">
        <f t="shared" si="3"/>
        <v>1</v>
      </c>
      <c r="C98" t="s">
        <v>2659</v>
      </c>
      <c r="D98" t="s">
        <v>2660</v>
      </c>
      <c r="E98">
        <v>1737</v>
      </c>
      <c r="F98" t="s">
        <v>3422</v>
      </c>
      <c r="G98" t="s">
        <v>3423</v>
      </c>
      <c r="H98" t="s">
        <v>3424</v>
      </c>
      <c r="I98" t="s">
        <v>3974</v>
      </c>
      <c r="J98" t="str" cm="1">
        <f t="array" ref="J98">firstword(C98)</f>
        <v>Isaac</v>
      </c>
      <c r="K98" t="str" cm="1">
        <f t="array" ref="K98">lastword(C98)</f>
        <v>Gregory</v>
      </c>
      <c r="L98" t="str">
        <f t="shared" si="4"/>
        <v>1737</v>
      </c>
      <c r="M98" t="str">
        <f t="shared" si="5"/>
        <v>1800</v>
      </c>
    </row>
    <row r="99" spans="1:13" x14ac:dyDescent="0.3">
      <c r="A99" t="s">
        <v>2661</v>
      </c>
      <c r="B99" t="b">
        <f t="shared" si="3"/>
        <v>1</v>
      </c>
      <c r="C99" t="s">
        <v>2661</v>
      </c>
      <c r="D99" t="s">
        <v>2662</v>
      </c>
      <c r="E99" t="s">
        <v>3425</v>
      </c>
      <c r="F99" t="s">
        <v>3426</v>
      </c>
      <c r="G99" t="s">
        <v>3427</v>
      </c>
      <c r="H99" t="s">
        <v>3256</v>
      </c>
      <c r="I99" t="s">
        <v>3428</v>
      </c>
      <c r="J99" t="str" cm="1">
        <f t="array" ref="J99">firstword(C99)</f>
        <v>Isaac</v>
      </c>
      <c r="K99" t="str" cm="1">
        <f t="array" ref="K99">lastword(C99)</f>
        <v>Huger</v>
      </c>
      <c r="L99" t="str">
        <f t="shared" si="4"/>
        <v>1743</v>
      </c>
      <c r="M99" t="str">
        <f t="shared" si="5"/>
        <v>1797</v>
      </c>
    </row>
    <row r="100" spans="1:13" x14ac:dyDescent="0.3">
      <c r="A100" t="s">
        <v>2663</v>
      </c>
      <c r="B100" t="b">
        <f t="shared" si="3"/>
        <v>1</v>
      </c>
      <c r="C100" t="s">
        <v>2663</v>
      </c>
      <c r="D100" t="s">
        <v>2664</v>
      </c>
      <c r="E100" t="s">
        <v>3429</v>
      </c>
      <c r="F100" t="s">
        <v>3430</v>
      </c>
      <c r="G100" t="s">
        <v>3431</v>
      </c>
      <c r="H100" t="s">
        <v>3432</v>
      </c>
      <c r="I100" t="s">
        <v>3433</v>
      </c>
      <c r="J100" t="str" cm="1">
        <f t="array" ref="J100">firstword(C100)</f>
        <v>Israel</v>
      </c>
      <c r="K100" t="str" cm="1">
        <f t="array" ref="K100">lastword(C100)</f>
        <v>Putnam</v>
      </c>
      <c r="L100" t="str">
        <f t="shared" si="4"/>
        <v>1718</v>
      </c>
      <c r="M100" t="str">
        <f t="shared" si="5"/>
        <v>1790</v>
      </c>
    </row>
    <row r="101" spans="1:13" x14ac:dyDescent="0.3">
      <c r="A101" t="s">
        <v>2665</v>
      </c>
      <c r="B101" t="b">
        <f t="shared" si="3"/>
        <v>1</v>
      </c>
      <c r="C101" t="s">
        <v>2665</v>
      </c>
      <c r="D101" t="s">
        <v>2666</v>
      </c>
      <c r="E101" t="s">
        <v>3434</v>
      </c>
      <c r="F101" t="s">
        <v>3435</v>
      </c>
      <c r="G101" t="s">
        <v>3436</v>
      </c>
      <c r="H101" t="s">
        <v>3437</v>
      </c>
      <c r="I101" t="s">
        <v>3975</v>
      </c>
      <c r="J101" t="str" cm="1">
        <f t="array" ref="J101">firstword(C101)</f>
        <v>Jacobus</v>
      </c>
      <c r="K101" t="str" cm="1">
        <f t="array" ref="K101">lastword(C101)</f>
        <v>Swartwout</v>
      </c>
      <c r="L101" t="str">
        <f t="shared" si="4"/>
        <v>1734</v>
      </c>
      <c r="M101" t="str">
        <f t="shared" si="5"/>
        <v>1827</v>
      </c>
    </row>
    <row r="102" spans="1:13" x14ac:dyDescent="0.3">
      <c r="A102" t="s">
        <v>2667</v>
      </c>
      <c r="B102" t="b">
        <f t="shared" si="3"/>
        <v>1</v>
      </c>
      <c r="C102" t="s">
        <v>2667</v>
      </c>
      <c r="D102" t="s">
        <v>2668</v>
      </c>
      <c r="E102" t="s">
        <v>3438</v>
      </c>
      <c r="G102">
        <v>1793</v>
      </c>
      <c r="I102" t="s">
        <v>3439</v>
      </c>
      <c r="J102" t="str" cm="1">
        <f t="array" ref="J102">firstword(C102)</f>
        <v>Jacques-Melchior</v>
      </c>
      <c r="K102" t="str" cm="1">
        <f t="array" ref="K102">lastword(C102)</f>
        <v>Saint-Laurent</v>
      </c>
      <c r="L102" t="str">
        <f t="shared" si="4"/>
        <v>1720</v>
      </c>
      <c r="M102" t="str">
        <f t="shared" si="5"/>
        <v>1793</v>
      </c>
    </row>
    <row r="103" spans="1:13" x14ac:dyDescent="0.3">
      <c r="A103" t="s">
        <v>2669</v>
      </c>
      <c r="B103" t="b">
        <f t="shared" si="3"/>
        <v>1</v>
      </c>
      <c r="C103" t="s">
        <v>2669</v>
      </c>
      <c r="D103" t="s">
        <v>2670</v>
      </c>
      <c r="E103" t="s">
        <v>3440</v>
      </c>
      <c r="G103" t="s">
        <v>3441</v>
      </c>
      <c r="H103" t="s">
        <v>3399</v>
      </c>
      <c r="I103" t="s">
        <v>3442</v>
      </c>
      <c r="J103" t="str" cm="1">
        <f t="array" ref="J103">firstword(C103)</f>
        <v>James</v>
      </c>
      <c r="K103" t="str" cm="1">
        <f t="array" ref="K103">lastword(C103)</f>
        <v>Abercrombie</v>
      </c>
      <c r="L103" t="str">
        <f t="shared" si="4"/>
        <v>tain</v>
      </c>
      <c r="M103" t="str">
        <f t="shared" si="5"/>
        <v>1775</v>
      </c>
    </row>
    <row r="104" spans="1:13" x14ac:dyDescent="0.3">
      <c r="A104" t="s">
        <v>2671</v>
      </c>
      <c r="B104" t="b">
        <f t="shared" si="3"/>
        <v>1</v>
      </c>
      <c r="C104" t="s">
        <v>2671</v>
      </c>
      <c r="D104" t="s">
        <v>2672</v>
      </c>
      <c r="E104">
        <v>1719</v>
      </c>
      <c r="F104" t="s">
        <v>297</v>
      </c>
      <c r="G104" t="s">
        <v>3443</v>
      </c>
      <c r="H104" t="s">
        <v>3444</v>
      </c>
      <c r="I104" t="s">
        <v>3445</v>
      </c>
      <c r="J104" t="str" cm="1">
        <f t="array" ref="J104">firstword(C104)</f>
        <v>James</v>
      </c>
      <c r="K104" t="str" cm="1">
        <f t="array" ref="K104">lastword(C104)</f>
        <v>Agnew</v>
      </c>
      <c r="L104" t="str">
        <f t="shared" si="4"/>
        <v>1719</v>
      </c>
      <c r="M104" t="str">
        <f t="shared" si="5"/>
        <v>1777</v>
      </c>
    </row>
    <row r="105" spans="1:13" x14ac:dyDescent="0.3">
      <c r="A105" t="s">
        <v>2673</v>
      </c>
      <c r="B105" t="b">
        <f t="shared" si="3"/>
        <v>1</v>
      </c>
      <c r="C105" t="s">
        <v>2673</v>
      </c>
      <c r="D105" t="s">
        <v>2674</v>
      </c>
      <c r="E105" t="s">
        <v>3446</v>
      </c>
      <c r="F105" t="s">
        <v>3447</v>
      </c>
      <c r="G105" t="s">
        <v>3448</v>
      </c>
      <c r="H105" t="s">
        <v>3449</v>
      </c>
      <c r="I105" t="s">
        <v>3450</v>
      </c>
      <c r="J105" t="str" cm="1">
        <f t="array" ref="J105">firstword(C105)</f>
        <v>James</v>
      </c>
      <c r="K105" t="str" cm="1">
        <f t="array" ref="K105">lastword(C105)</f>
        <v>Gunn</v>
      </c>
      <c r="L105" t="str">
        <f t="shared" si="4"/>
        <v>1753</v>
      </c>
      <c r="M105" t="str">
        <f t="shared" si="5"/>
        <v>1801</v>
      </c>
    </row>
    <row r="106" spans="1:13" x14ac:dyDescent="0.3">
      <c r="A106" t="s">
        <v>2675</v>
      </c>
      <c r="B106" t="b">
        <f t="shared" si="3"/>
        <v>1</v>
      </c>
      <c r="C106" t="s">
        <v>2675</v>
      </c>
      <c r="D106" t="s">
        <v>2676</v>
      </c>
      <c r="F106" t="s">
        <v>3127</v>
      </c>
      <c r="G106" t="s">
        <v>3451</v>
      </c>
      <c r="H106" t="s">
        <v>3452</v>
      </c>
      <c r="I106" t="s">
        <v>3453</v>
      </c>
      <c r="J106" t="str" cm="1">
        <f t="array" ref="J106">firstword(C106)</f>
        <v>James</v>
      </c>
      <c r="K106" t="str" cm="1">
        <f t="array" ref="K106">lastword(C106)</f>
        <v>Hogun</v>
      </c>
      <c r="L106" t="str">
        <f t="shared" si="4"/>
        <v/>
      </c>
      <c r="M106" t="str">
        <f t="shared" si="5"/>
        <v>1781</v>
      </c>
    </row>
    <row r="107" spans="1:13" x14ac:dyDescent="0.3">
      <c r="A107" t="s">
        <v>2677</v>
      </c>
      <c r="B107" t="b">
        <f t="shared" si="3"/>
        <v>1</v>
      </c>
      <c r="C107" t="s">
        <v>2677</v>
      </c>
      <c r="D107" t="s">
        <v>2678</v>
      </c>
      <c r="E107" t="s">
        <v>3454</v>
      </c>
      <c r="F107" t="s">
        <v>3455</v>
      </c>
      <c r="G107" t="s">
        <v>3456</v>
      </c>
      <c r="H107" t="s">
        <v>3457</v>
      </c>
      <c r="I107" t="s">
        <v>3976</v>
      </c>
      <c r="J107" t="str" cm="1">
        <f t="array" ref="J107">firstword(C107)</f>
        <v>James</v>
      </c>
      <c r="K107" t="str" cm="1">
        <f t="array" ref="K107">lastword(C107)</f>
        <v>Kenan</v>
      </c>
      <c r="L107" t="str">
        <f t="shared" si="4"/>
        <v>1740</v>
      </c>
      <c r="M107" t="str">
        <f t="shared" si="5"/>
        <v>1810</v>
      </c>
    </row>
    <row r="108" spans="1:13" x14ac:dyDescent="0.3">
      <c r="A108" t="s">
        <v>2679</v>
      </c>
      <c r="B108" t="b">
        <f t="shared" si="3"/>
        <v>1</v>
      </c>
      <c r="C108" t="s">
        <v>2679</v>
      </c>
      <c r="D108" t="s">
        <v>2680</v>
      </c>
      <c r="E108" t="s">
        <v>3458</v>
      </c>
      <c r="F108" t="s">
        <v>3459</v>
      </c>
      <c r="G108" t="s">
        <v>3460</v>
      </c>
      <c r="H108" t="s">
        <v>3099</v>
      </c>
      <c r="I108" t="s">
        <v>3977</v>
      </c>
      <c r="J108" t="str" cm="1">
        <f t="array" ref="J108">firstword(C108)</f>
        <v>James</v>
      </c>
      <c r="K108" t="str" cm="1">
        <f t="array" ref="K108">lastword(C108)</f>
        <v>Varnum</v>
      </c>
      <c r="L108" t="str">
        <f t="shared" si="4"/>
        <v>1748</v>
      </c>
      <c r="M108" t="str">
        <f t="shared" si="5"/>
        <v>1789</v>
      </c>
    </row>
    <row r="109" spans="1:13" x14ac:dyDescent="0.3">
      <c r="A109" t="s">
        <v>2681</v>
      </c>
      <c r="B109" t="b">
        <f t="shared" si="3"/>
        <v>1</v>
      </c>
      <c r="C109" t="s">
        <v>2681</v>
      </c>
      <c r="D109" t="s">
        <v>2682</v>
      </c>
      <c r="E109">
        <v>1737</v>
      </c>
      <c r="F109" t="s">
        <v>3461</v>
      </c>
      <c r="G109" t="s">
        <v>3462</v>
      </c>
      <c r="H109" t="s">
        <v>3463</v>
      </c>
      <c r="I109" t="s">
        <v>3464</v>
      </c>
      <c r="J109" t="str" cm="1">
        <f t="array" ref="J109">firstword(C109)</f>
        <v>James</v>
      </c>
      <c r="K109" t="str" cm="1">
        <f t="array" ref="K109">lastword(C109)</f>
        <v>Moore</v>
      </c>
      <c r="L109" t="str">
        <f t="shared" si="4"/>
        <v>1737</v>
      </c>
      <c r="M109" t="str">
        <f t="shared" si="5"/>
        <v>1777</v>
      </c>
    </row>
    <row r="110" spans="1:13" x14ac:dyDescent="0.3">
      <c r="A110" t="s">
        <v>2683</v>
      </c>
      <c r="B110" t="b">
        <f t="shared" si="3"/>
        <v>1</v>
      </c>
      <c r="C110" t="s">
        <v>2683</v>
      </c>
      <c r="D110" t="s">
        <v>2684</v>
      </c>
      <c r="E110">
        <v>1737</v>
      </c>
      <c r="G110" t="s">
        <v>3465</v>
      </c>
      <c r="H110" t="s">
        <v>3466</v>
      </c>
      <c r="I110" t="s">
        <v>3467</v>
      </c>
      <c r="J110" t="str" cm="1">
        <f t="array" ref="J110">firstword(C110)</f>
        <v>James</v>
      </c>
      <c r="K110" t="str" cm="1">
        <f t="array" ref="K110">lastword(C110)</f>
        <v>Nicholson</v>
      </c>
      <c r="L110" t="str">
        <f t="shared" si="4"/>
        <v>1737</v>
      </c>
      <c r="M110" t="str">
        <f t="shared" si="5"/>
        <v>1804</v>
      </c>
    </row>
    <row r="111" spans="1:13" x14ac:dyDescent="0.3">
      <c r="A111" t="s">
        <v>2685</v>
      </c>
      <c r="B111" t="b">
        <f t="shared" si="3"/>
        <v>1</v>
      </c>
      <c r="C111" t="s">
        <v>2685</v>
      </c>
      <c r="D111" t="s">
        <v>2686</v>
      </c>
      <c r="E111" t="s">
        <v>3468</v>
      </c>
      <c r="F111" t="s">
        <v>309</v>
      </c>
      <c r="G111" t="s">
        <v>3469</v>
      </c>
      <c r="H111" t="s">
        <v>3470</v>
      </c>
      <c r="I111" t="s">
        <v>3471</v>
      </c>
      <c r="J111" t="str" cm="1">
        <f t="array" ref="J111">firstword(C111)</f>
        <v>James</v>
      </c>
      <c r="K111" t="str" cm="1">
        <f t="array" ref="K111">lastword(C111)</f>
        <v>Reed</v>
      </c>
      <c r="L111" t="str">
        <f t="shared" si="4"/>
        <v>1724</v>
      </c>
      <c r="M111" t="str">
        <f t="shared" si="5"/>
        <v>1807</v>
      </c>
    </row>
    <row r="112" spans="1:13" x14ac:dyDescent="0.3">
      <c r="A112" t="s">
        <v>2687</v>
      </c>
      <c r="B112" t="b">
        <f t="shared" si="3"/>
        <v>1</v>
      </c>
      <c r="C112" t="s">
        <v>2687</v>
      </c>
      <c r="D112" t="s">
        <v>2688</v>
      </c>
      <c r="E112" t="s">
        <v>3472</v>
      </c>
      <c r="F112" t="s">
        <v>3473</v>
      </c>
      <c r="G112" t="s">
        <v>3474</v>
      </c>
      <c r="H112" t="s">
        <v>3475</v>
      </c>
      <c r="I112" t="s">
        <v>4032</v>
      </c>
      <c r="J112" t="str" cm="1">
        <f t="array" ref="J112">firstword(C112)</f>
        <v>James</v>
      </c>
      <c r="K112" t="str" cm="1">
        <f t="array" ref="K112">lastword(C112)</f>
        <v>Wilkinson</v>
      </c>
      <c r="L112" t="str">
        <f t="shared" si="4"/>
        <v>1757</v>
      </c>
      <c r="M112" t="str">
        <f t="shared" si="5"/>
        <v>1825</v>
      </c>
    </row>
    <row r="113" spans="1:13" x14ac:dyDescent="0.3">
      <c r="A113" t="s">
        <v>2689</v>
      </c>
      <c r="B113" t="b">
        <f t="shared" si="3"/>
        <v>1</v>
      </c>
      <c r="C113" t="s">
        <v>2689</v>
      </c>
      <c r="D113" t="s">
        <v>2690</v>
      </c>
      <c r="E113" t="s">
        <v>3476</v>
      </c>
      <c r="F113" t="s">
        <v>3477</v>
      </c>
      <c r="G113" t="s">
        <v>3478</v>
      </c>
      <c r="H113" t="s">
        <v>3479</v>
      </c>
      <c r="I113" t="s">
        <v>3480</v>
      </c>
      <c r="J113" t="str" cm="1">
        <f t="array" ref="J113">firstword(C113)</f>
        <v>Jan</v>
      </c>
      <c r="K113" t="str" cm="1">
        <f t="array" ref="K113">lastword(C113)</f>
        <v>Kinsbergen</v>
      </c>
      <c r="L113" t="str">
        <f t="shared" si="4"/>
        <v>1735</v>
      </c>
      <c r="M113" t="str">
        <f t="shared" si="5"/>
        <v>1819</v>
      </c>
    </row>
    <row r="114" spans="1:13" x14ac:dyDescent="0.3">
      <c r="A114" t="s">
        <v>2691</v>
      </c>
      <c r="B114" t="b">
        <f t="shared" si="3"/>
        <v>1</v>
      </c>
      <c r="C114" t="s">
        <v>2691</v>
      </c>
      <c r="D114" t="s">
        <v>2692</v>
      </c>
      <c r="E114">
        <v>1750</v>
      </c>
      <c r="G114" t="s">
        <v>3481</v>
      </c>
      <c r="I114" t="s">
        <v>3482</v>
      </c>
      <c r="J114" t="str" cm="1">
        <f t="array" ref="J114">firstword(C114)</f>
        <v>Jean</v>
      </c>
      <c r="K114" t="str" cm="1">
        <f t="array" ref="K114">lastword(C114)</f>
        <v>Joseph</v>
      </c>
      <c r="L114" t="str">
        <f t="shared" si="4"/>
        <v>1750</v>
      </c>
      <c r="M114" t="str">
        <f t="shared" si="5"/>
        <v>1832</v>
      </c>
    </row>
    <row r="115" spans="1:13" x14ac:dyDescent="0.3">
      <c r="A115" t="s">
        <v>2693</v>
      </c>
      <c r="B115" t="b">
        <f t="shared" si="3"/>
        <v>1</v>
      </c>
      <c r="C115" t="s">
        <v>2693</v>
      </c>
      <c r="D115" t="s">
        <v>2694</v>
      </c>
      <c r="E115" t="s">
        <v>3483</v>
      </c>
      <c r="F115" t="s">
        <v>3484</v>
      </c>
      <c r="G115" t="s">
        <v>3485</v>
      </c>
      <c r="H115" t="s">
        <v>3486</v>
      </c>
      <c r="I115" t="s">
        <v>3487</v>
      </c>
      <c r="J115" t="str" cm="1">
        <f t="array" ref="J115">firstword(C115)</f>
        <v>Jean-Baptiste</v>
      </c>
      <c r="K115" t="str" cm="1">
        <f t="array" ref="K115">lastword(C115)</f>
        <v>Vimeur</v>
      </c>
      <c r="L115" t="str">
        <f t="shared" si="4"/>
        <v>1725</v>
      </c>
      <c r="M115" t="str">
        <f t="shared" si="5"/>
        <v>1807</v>
      </c>
    </row>
    <row r="116" spans="1:13" x14ac:dyDescent="0.3">
      <c r="A116" t="s">
        <v>2695</v>
      </c>
      <c r="B116" t="b">
        <f t="shared" si="3"/>
        <v>1</v>
      </c>
      <c r="C116" t="s">
        <v>2695</v>
      </c>
      <c r="D116" t="s">
        <v>2696</v>
      </c>
      <c r="E116" t="s">
        <v>3488</v>
      </c>
      <c r="F116" t="s">
        <v>3489</v>
      </c>
      <c r="I116" t="s">
        <v>3490</v>
      </c>
      <c r="J116" t="str" cm="1">
        <f t="array" ref="J116">firstword(C116)</f>
        <v>Jedediah</v>
      </c>
      <c r="K116" t="str" cm="1">
        <f t="array" ref="K116">lastword(C116)</f>
        <v>Huntington</v>
      </c>
      <c r="L116" t="str">
        <f t="shared" si="4"/>
        <v>1743</v>
      </c>
      <c r="M116" t="str">
        <f t="shared" si="5"/>
        <v/>
      </c>
    </row>
    <row r="117" spans="1:13" x14ac:dyDescent="0.3">
      <c r="A117" t="s">
        <v>2697</v>
      </c>
      <c r="B117" t="b">
        <f t="shared" si="3"/>
        <v>1</v>
      </c>
      <c r="C117" t="s">
        <v>2697</v>
      </c>
      <c r="D117" t="s">
        <v>2698</v>
      </c>
      <c r="E117" t="s">
        <v>3491</v>
      </c>
      <c r="F117" t="s">
        <v>3492</v>
      </c>
      <c r="G117" t="s">
        <v>3493</v>
      </c>
      <c r="H117" t="s">
        <v>3492</v>
      </c>
      <c r="I117" t="s">
        <v>3978</v>
      </c>
      <c r="J117" t="str" cm="1">
        <f t="array" ref="J117">firstword(C117)</f>
        <v>Jeffery</v>
      </c>
      <c r="K117" t="str" cm="1">
        <f t="array" ref="K117">lastword(C117)</f>
        <v>Amherst</v>
      </c>
      <c r="L117" t="str">
        <f t="shared" si="4"/>
        <v>1717</v>
      </c>
      <c r="M117" t="str">
        <f t="shared" si="5"/>
        <v>1797</v>
      </c>
    </row>
    <row r="118" spans="1:13" x14ac:dyDescent="0.3">
      <c r="A118" t="s">
        <v>2699</v>
      </c>
      <c r="B118" t="b">
        <f t="shared" si="3"/>
        <v>1</v>
      </c>
      <c r="C118" t="s">
        <v>2699</v>
      </c>
      <c r="D118" t="s">
        <v>2700</v>
      </c>
      <c r="E118" t="s">
        <v>3494</v>
      </c>
      <c r="F118" t="s">
        <v>3495</v>
      </c>
      <c r="G118" t="s">
        <v>3496</v>
      </c>
      <c r="H118" t="s">
        <v>3497</v>
      </c>
      <c r="I118" t="s">
        <v>3498</v>
      </c>
      <c r="J118" t="str" cm="1">
        <f t="array" ref="J118">firstword(C118)</f>
        <v>Jethro</v>
      </c>
      <c r="K118" t="str" cm="1">
        <f t="array" ref="K118">lastword(C118)</f>
        <v>Sumner</v>
      </c>
      <c r="L118" t="str">
        <f t="shared" si="4"/>
        <v>1733</v>
      </c>
      <c r="M118" t="str">
        <f t="shared" si="5"/>
        <v>1785</v>
      </c>
    </row>
    <row r="119" spans="1:13" x14ac:dyDescent="0.3">
      <c r="A119" t="s">
        <v>2701</v>
      </c>
      <c r="B119" t="b">
        <f t="shared" si="3"/>
        <v>1</v>
      </c>
      <c r="C119" t="s">
        <v>2701</v>
      </c>
      <c r="D119" t="s">
        <v>2702</v>
      </c>
      <c r="E119" t="s">
        <v>3499</v>
      </c>
      <c r="F119" t="s">
        <v>3500</v>
      </c>
      <c r="G119" t="s">
        <v>3501</v>
      </c>
      <c r="H119" t="s">
        <v>3502</v>
      </c>
      <c r="I119" t="s">
        <v>3503</v>
      </c>
      <c r="J119" t="str" cm="1">
        <f t="array" ref="J119">firstword(C119)</f>
        <v>Johan</v>
      </c>
      <c r="K119" t="str" cm="1">
        <f t="array" ref="K119">lastword(C119)</f>
        <v>Zoutman</v>
      </c>
      <c r="L119" t="str">
        <f t="shared" si="4"/>
        <v>1724</v>
      </c>
      <c r="M119" t="str">
        <f t="shared" si="5"/>
        <v>1793</v>
      </c>
    </row>
    <row r="120" spans="1:13" x14ac:dyDescent="0.3">
      <c r="A120" t="s">
        <v>2703</v>
      </c>
      <c r="B120" t="b">
        <f t="shared" si="3"/>
        <v>1</v>
      </c>
      <c r="C120" t="s">
        <v>2703</v>
      </c>
      <c r="D120" t="s">
        <v>2704</v>
      </c>
      <c r="E120" t="s">
        <v>3504</v>
      </c>
      <c r="F120" t="s">
        <v>3505</v>
      </c>
      <c r="G120" t="s">
        <v>3506</v>
      </c>
      <c r="H120" t="s">
        <v>3507</v>
      </c>
      <c r="I120" t="s">
        <v>3508</v>
      </c>
      <c r="J120" t="str" cm="1">
        <f t="array" ref="J120">firstword(C120)</f>
        <v>Johann</v>
      </c>
      <c r="K120" t="str" cm="1">
        <f t="array" ref="K120">lastword(C120)</f>
        <v>Kalb</v>
      </c>
      <c r="L120" t="str">
        <f t="shared" si="4"/>
        <v>1721</v>
      </c>
      <c r="M120" t="str">
        <f t="shared" si="5"/>
        <v>1780</v>
      </c>
    </row>
    <row r="121" spans="1:13" x14ac:dyDescent="0.3">
      <c r="A121" t="s">
        <v>2705</v>
      </c>
      <c r="B121" t="b">
        <f t="shared" si="3"/>
        <v>1</v>
      </c>
      <c r="C121" t="s">
        <v>2705</v>
      </c>
      <c r="D121" t="s">
        <v>2706</v>
      </c>
      <c r="E121">
        <v>1726</v>
      </c>
      <c r="F121" t="s">
        <v>3509</v>
      </c>
      <c r="G121" t="s">
        <v>3510</v>
      </c>
      <c r="H121" t="s">
        <v>3511</v>
      </c>
      <c r="I121" t="s">
        <v>3979</v>
      </c>
      <c r="J121" t="str" cm="1">
        <f t="array" ref="J121">firstword(C121)</f>
        <v>Johann</v>
      </c>
      <c r="K121" t="str" cm="1">
        <f t="array" ref="K121">lastword(C121)</f>
        <v>Rall</v>
      </c>
      <c r="L121" t="str">
        <f t="shared" si="4"/>
        <v>1726</v>
      </c>
      <c r="M121" t="str">
        <f t="shared" si="5"/>
        <v>1776</v>
      </c>
    </row>
    <row r="122" spans="1:13" x14ac:dyDescent="0.3">
      <c r="A122" t="s">
        <v>2707</v>
      </c>
      <c r="B122" t="b">
        <f t="shared" si="3"/>
        <v>1</v>
      </c>
      <c r="C122" t="s">
        <v>2707</v>
      </c>
      <c r="D122" t="s">
        <v>2708</v>
      </c>
      <c r="J122" t="str" cm="1">
        <f t="array" ref="J122">firstword(C122)</f>
        <v>Johann</v>
      </c>
      <c r="K122" t="str" cm="1">
        <f t="array" ref="K122">lastword(C122)</f>
        <v>Hanxleden</v>
      </c>
      <c r="L122" t="str">
        <f t="shared" si="4"/>
        <v/>
      </c>
      <c r="M122" t="str">
        <f t="shared" si="5"/>
        <v/>
      </c>
    </row>
    <row r="123" spans="1:13" x14ac:dyDescent="0.3">
      <c r="A123" t="s">
        <v>2709</v>
      </c>
      <c r="B123" t="b">
        <f t="shared" si="3"/>
        <v>1</v>
      </c>
      <c r="C123" t="s">
        <v>2709</v>
      </c>
      <c r="D123" t="s">
        <v>2710</v>
      </c>
      <c r="J123" t="str" cm="1">
        <f t="array" ref="J123">firstword(C123)</f>
        <v>Johann</v>
      </c>
      <c r="K123" t="str" cm="1">
        <f t="array" ref="K123">lastword(C123)</f>
        <v>Rauschenplatt</v>
      </c>
      <c r="L123" t="str">
        <f t="shared" si="4"/>
        <v/>
      </c>
      <c r="M123" t="str">
        <f t="shared" si="5"/>
        <v/>
      </c>
    </row>
    <row r="124" spans="1:13" x14ac:dyDescent="0.3">
      <c r="A124" t="s">
        <v>2711</v>
      </c>
      <c r="B124" t="b">
        <f t="shared" si="3"/>
        <v>1</v>
      </c>
      <c r="C124" t="s">
        <v>2711</v>
      </c>
      <c r="D124" t="s">
        <v>2712</v>
      </c>
      <c r="E124" t="s">
        <v>3512</v>
      </c>
      <c r="F124" t="s">
        <v>3396</v>
      </c>
      <c r="G124" t="s">
        <v>3513</v>
      </c>
      <c r="H124" t="s">
        <v>3514</v>
      </c>
      <c r="I124" t="s">
        <v>3980</v>
      </c>
      <c r="J124" t="str" cm="1">
        <f t="array" ref="J124">firstword(C124)</f>
        <v>John</v>
      </c>
      <c r="K124" t="str" cm="1">
        <f t="array" ref="K124">lastword(C124)</f>
        <v>Andre</v>
      </c>
      <c r="L124" t="str">
        <f t="shared" si="4"/>
        <v>1751</v>
      </c>
      <c r="M124" t="str">
        <f t="shared" si="5"/>
        <v>1780</v>
      </c>
    </row>
    <row r="125" spans="1:13" x14ac:dyDescent="0.3">
      <c r="A125" t="s">
        <v>2713</v>
      </c>
      <c r="B125" t="b">
        <f t="shared" si="3"/>
        <v>1</v>
      </c>
      <c r="C125" t="s">
        <v>2713</v>
      </c>
      <c r="D125" t="s">
        <v>2714</v>
      </c>
      <c r="E125" t="s">
        <v>3515</v>
      </c>
      <c r="F125" t="s">
        <v>3517</v>
      </c>
      <c r="G125" t="s">
        <v>3516</v>
      </c>
      <c r="H125" t="s">
        <v>3518</v>
      </c>
      <c r="I125" t="s">
        <v>3519</v>
      </c>
      <c r="J125" t="str" cm="1">
        <f t="array" ref="J125">firstword(C125)</f>
        <v>John</v>
      </c>
      <c r="K125" t="str" cm="1">
        <f t="array" ref="K125">lastword(C125)</f>
        <v>Armstrong</v>
      </c>
      <c r="L125" t="str">
        <f t="shared" si="4"/>
        <v>1717</v>
      </c>
      <c r="M125" t="str">
        <f t="shared" si="5"/>
        <v>land</v>
      </c>
    </row>
    <row r="126" spans="1:13" x14ac:dyDescent="0.3">
      <c r="A126" t="s">
        <v>2715</v>
      </c>
      <c r="B126" t="b">
        <f t="shared" si="3"/>
        <v>1</v>
      </c>
      <c r="C126" t="s">
        <v>2715</v>
      </c>
      <c r="D126" t="s">
        <v>2716</v>
      </c>
      <c r="E126" t="s">
        <v>3520</v>
      </c>
      <c r="F126" t="s">
        <v>3521</v>
      </c>
      <c r="G126" t="s">
        <v>3522</v>
      </c>
      <c r="H126" t="s">
        <v>3523</v>
      </c>
      <c r="I126" t="s">
        <v>3524</v>
      </c>
      <c r="J126" t="str" cm="1">
        <f t="array" ref="J126">firstword(C126)</f>
        <v>John</v>
      </c>
      <c r="K126" t="str" cm="1">
        <f t="array" ref="K126">lastword(C126)</f>
        <v>Ashe</v>
      </c>
      <c r="L126" t="str">
        <f t="shared" si="4"/>
        <v>1725</v>
      </c>
      <c r="M126" t="str">
        <f t="shared" si="5"/>
        <v>1781</v>
      </c>
    </row>
    <row r="127" spans="1:13" x14ac:dyDescent="0.3">
      <c r="A127" t="s">
        <v>2717</v>
      </c>
      <c r="B127" t="b">
        <f t="shared" si="3"/>
        <v>1</v>
      </c>
      <c r="C127" t="s">
        <v>2717</v>
      </c>
      <c r="D127" t="s">
        <v>2718</v>
      </c>
      <c r="E127" t="s">
        <v>3525</v>
      </c>
      <c r="G127" t="s">
        <v>3526</v>
      </c>
      <c r="I127" t="s">
        <v>4033</v>
      </c>
      <c r="J127" t="str" cm="1">
        <f t="array" ref="J127">firstword(C127)</f>
        <v>John</v>
      </c>
      <c r="K127" t="str" cm="1">
        <f t="array" ref="K127">lastword(C127)</f>
        <v>Barnwell</v>
      </c>
      <c r="L127" t="str">
        <f t="shared" si="4"/>
        <v>1748</v>
      </c>
      <c r="M127" t="str">
        <f t="shared" si="5"/>
        <v>1800</v>
      </c>
    </row>
    <row r="128" spans="1:13" x14ac:dyDescent="0.3">
      <c r="A128" t="s">
        <v>2719</v>
      </c>
      <c r="B128" t="b">
        <f t="shared" si="3"/>
        <v>1</v>
      </c>
      <c r="C128" t="s">
        <v>2719</v>
      </c>
      <c r="D128" t="s">
        <v>2720</v>
      </c>
      <c r="E128" t="s">
        <v>3527</v>
      </c>
      <c r="F128" t="s">
        <v>3528</v>
      </c>
      <c r="G128" t="s">
        <v>3930</v>
      </c>
      <c r="H128" t="s">
        <v>3229</v>
      </c>
      <c r="I128" t="s">
        <v>3981</v>
      </c>
      <c r="J128" t="str" cm="1">
        <f t="array" ref="J128">firstword(C128)</f>
        <v>John</v>
      </c>
      <c r="K128" t="str" cm="1">
        <f t="array" ref="K128">lastword(C128)</f>
        <v>Barry</v>
      </c>
      <c r="L128" t="str">
        <f t="shared" si="4"/>
        <v>1745</v>
      </c>
      <c r="M128" t="str">
        <f t="shared" si="5"/>
        <v>1803</v>
      </c>
    </row>
    <row r="129" spans="1:13" x14ac:dyDescent="0.3">
      <c r="A129" t="s">
        <v>2721</v>
      </c>
      <c r="B129" t="b">
        <f t="shared" si="3"/>
        <v>1</v>
      </c>
      <c r="C129" t="s">
        <v>2721</v>
      </c>
      <c r="D129" t="s">
        <v>2722</v>
      </c>
      <c r="E129" t="s">
        <v>3529</v>
      </c>
      <c r="F129" t="s">
        <v>3530</v>
      </c>
      <c r="G129" t="s">
        <v>3531</v>
      </c>
      <c r="H129" t="s">
        <v>3532</v>
      </c>
      <c r="I129" t="s">
        <v>3533</v>
      </c>
      <c r="J129" t="str" cm="1">
        <f t="array" ref="J129">firstword(C129)</f>
        <v>John</v>
      </c>
      <c r="K129" t="str" cm="1">
        <f t="array" ref="K129">lastword(C129)</f>
        <v>Burgoyne</v>
      </c>
      <c r="L129" t="str">
        <f t="shared" si="4"/>
        <v>1722</v>
      </c>
      <c r="M129" t="str">
        <f t="shared" si="5"/>
        <v>1792</v>
      </c>
    </row>
    <row r="130" spans="1:13" x14ac:dyDescent="0.3">
      <c r="A130" t="s">
        <v>2723</v>
      </c>
      <c r="B130" t="b">
        <f t="shared" si="3"/>
        <v>1</v>
      </c>
      <c r="C130" t="s">
        <v>2723</v>
      </c>
      <c r="D130" t="s">
        <v>2724</v>
      </c>
      <c r="E130" t="s">
        <v>3534</v>
      </c>
      <c r="G130">
        <v>1786</v>
      </c>
      <c r="I130" t="s">
        <v>3535</v>
      </c>
      <c r="J130" t="str" cm="1">
        <f t="array" ref="J130">firstword(C130)</f>
        <v>John</v>
      </c>
      <c r="K130" t="str" cm="1">
        <f t="array" ref="K130">lastword(C130)</f>
        <v>Butler</v>
      </c>
      <c r="L130" t="str">
        <f t="shared" si="4"/>
        <v>1728</v>
      </c>
      <c r="M130" t="str">
        <f t="shared" si="5"/>
        <v>1786</v>
      </c>
    </row>
    <row r="131" spans="1:13" x14ac:dyDescent="0.3">
      <c r="A131" t="s">
        <v>2725</v>
      </c>
      <c r="B131" t="b">
        <f t="shared" ref="B131:B194" si="6">A131=C131</f>
        <v>1</v>
      </c>
      <c r="C131" t="s">
        <v>2725</v>
      </c>
      <c r="D131" t="s">
        <v>2726</v>
      </c>
      <c r="E131" t="s">
        <v>3536</v>
      </c>
      <c r="F131" t="s">
        <v>3538</v>
      </c>
      <c r="G131" t="s">
        <v>3537</v>
      </c>
      <c r="I131" t="s">
        <v>3982</v>
      </c>
      <c r="J131" t="str" cm="1">
        <f t="array" ref="J131">firstword(C131)</f>
        <v>John</v>
      </c>
      <c r="K131" t="str" cm="1">
        <f t="array" ref="K131">lastword(C131)</f>
        <v>Byron</v>
      </c>
      <c r="L131" t="str">
        <f t="shared" ref="L131:L194" si="7">RIGHT(E131,4)</f>
        <v>1723</v>
      </c>
      <c r="M131" t="str">
        <f t="shared" ref="M131:M194" si="8">RIGHT(G131,4)</f>
        <v>1786</v>
      </c>
    </row>
    <row r="132" spans="1:13" x14ac:dyDescent="0.3">
      <c r="A132" t="s">
        <v>2727</v>
      </c>
      <c r="B132" t="b">
        <f t="shared" si="6"/>
        <v>1</v>
      </c>
      <c r="C132" t="s">
        <v>2727</v>
      </c>
      <c r="D132" t="s">
        <v>2728</v>
      </c>
      <c r="E132">
        <v>1727</v>
      </c>
      <c r="F132" t="s">
        <v>3539</v>
      </c>
      <c r="G132" t="s">
        <v>3540</v>
      </c>
      <c r="H132" t="s">
        <v>3539</v>
      </c>
      <c r="I132" t="s">
        <v>3541</v>
      </c>
      <c r="J132" t="str" cm="1">
        <f t="array" ref="J132">firstword(C132)</f>
        <v>John</v>
      </c>
      <c r="K132" t="str" cm="1">
        <f t="array" ref="K132">lastword(C132)</f>
        <v>Campbell</v>
      </c>
      <c r="L132" t="str">
        <f t="shared" si="7"/>
        <v>1727</v>
      </c>
      <c r="M132" t="str">
        <f t="shared" si="8"/>
        <v>1806</v>
      </c>
    </row>
    <row r="133" spans="1:13" x14ac:dyDescent="0.3">
      <c r="A133" t="s">
        <v>2729</v>
      </c>
      <c r="B133" t="b">
        <f t="shared" si="6"/>
        <v>1</v>
      </c>
      <c r="C133" t="s">
        <v>2729</v>
      </c>
      <c r="D133" t="s">
        <v>2730</v>
      </c>
      <c r="E133" t="s">
        <v>3542</v>
      </c>
      <c r="G133" t="s">
        <v>3543</v>
      </c>
      <c r="I133" t="s">
        <v>3544</v>
      </c>
      <c r="J133" t="str" cm="1">
        <f t="array" ref="J133">firstword(C133)</f>
        <v>John</v>
      </c>
      <c r="K133" t="str" cm="1">
        <f t="array" ref="K133">lastword(C133)</f>
        <v>Dalling</v>
      </c>
      <c r="L133" t="str">
        <f t="shared" si="7"/>
        <v>1731</v>
      </c>
      <c r="M133" t="str">
        <f t="shared" si="8"/>
        <v>1798</v>
      </c>
    </row>
    <row r="134" spans="1:13" x14ac:dyDescent="0.3">
      <c r="A134" t="s">
        <v>2731</v>
      </c>
      <c r="B134" t="b">
        <f t="shared" si="6"/>
        <v>1</v>
      </c>
      <c r="C134" t="s">
        <v>2731</v>
      </c>
      <c r="D134" t="s">
        <v>2732</v>
      </c>
      <c r="E134" t="s">
        <v>3545</v>
      </c>
      <c r="F134" t="s">
        <v>3547</v>
      </c>
      <c r="G134" t="s">
        <v>3546</v>
      </c>
      <c r="H134" t="s">
        <v>3548</v>
      </c>
      <c r="I134" t="s">
        <v>3549</v>
      </c>
      <c r="J134" t="str" cm="1">
        <f t="array" ref="J134">firstword(C134)</f>
        <v>John</v>
      </c>
      <c r="K134" t="str" cm="1">
        <f t="array" ref="K134">lastword(C134)</f>
        <v>Fellows</v>
      </c>
      <c r="L134" t="str">
        <f t="shared" si="7"/>
        <v>1735</v>
      </c>
      <c r="M134" t="str">
        <f t="shared" si="8"/>
        <v>1808</v>
      </c>
    </row>
    <row r="135" spans="1:13" x14ac:dyDescent="0.3">
      <c r="A135" t="s">
        <v>2733</v>
      </c>
      <c r="B135" t="b">
        <f t="shared" si="6"/>
        <v>1</v>
      </c>
      <c r="C135" t="s">
        <v>2733</v>
      </c>
      <c r="D135" t="s">
        <v>2734</v>
      </c>
      <c r="E135" s="28" t="s">
        <v>4044</v>
      </c>
      <c r="F135" t="s">
        <v>3550</v>
      </c>
      <c r="G135" t="s">
        <v>3551</v>
      </c>
      <c r="I135" t="s">
        <v>3983</v>
      </c>
      <c r="J135" t="str" cm="1">
        <f t="array" ref="J135">firstword(C135)</f>
        <v>John</v>
      </c>
      <c r="K135" t="str" cm="1">
        <f t="array" ref="K135">lastword(C135)</f>
        <v>Glover</v>
      </c>
      <c r="L135" t="str">
        <f t="shared" si="7"/>
        <v>1732</v>
      </c>
      <c r="M135" t="str">
        <f t="shared" si="8"/>
        <v>1797</v>
      </c>
    </row>
    <row r="136" spans="1:13" x14ac:dyDescent="0.3">
      <c r="A136" t="s">
        <v>2735</v>
      </c>
      <c r="B136" t="b">
        <f t="shared" si="6"/>
        <v>1</v>
      </c>
      <c r="C136" t="s">
        <v>2735</v>
      </c>
      <c r="D136" t="s">
        <v>2736</v>
      </c>
      <c r="E136" t="s">
        <v>3552</v>
      </c>
      <c r="F136" t="s">
        <v>3553</v>
      </c>
      <c r="G136" t="s">
        <v>3554</v>
      </c>
      <c r="H136" t="s">
        <v>3555</v>
      </c>
      <c r="I136" t="s">
        <v>3556</v>
      </c>
      <c r="J136" t="str" cm="1">
        <f t="array" ref="J136">firstword(C136)</f>
        <v>John</v>
      </c>
      <c r="K136" t="str" cm="1">
        <f t="array" ref="K136">lastword(C136)</f>
        <v>Simcoe</v>
      </c>
      <c r="L136" t="str">
        <f t="shared" si="7"/>
        <v>1752</v>
      </c>
      <c r="M136" t="str">
        <f t="shared" si="8"/>
        <v>1806</v>
      </c>
    </row>
    <row r="137" spans="1:13" x14ac:dyDescent="0.3">
      <c r="A137" t="s">
        <v>2737</v>
      </c>
      <c r="B137" t="b">
        <f t="shared" si="6"/>
        <v>1</v>
      </c>
      <c r="C137" t="s">
        <v>2737</v>
      </c>
      <c r="D137" t="s">
        <v>2738</v>
      </c>
      <c r="J137" t="str" cm="1">
        <f t="array" ref="J137">firstword(C137)</f>
        <v>John</v>
      </c>
      <c r="K137" t="str" cm="1">
        <f t="array" ref="K137">lastword(C137)</f>
        <v>Greaton</v>
      </c>
      <c r="L137" t="str">
        <f t="shared" si="7"/>
        <v/>
      </c>
      <c r="M137" t="str">
        <f t="shared" si="8"/>
        <v/>
      </c>
    </row>
    <row r="138" spans="1:13" x14ac:dyDescent="0.3">
      <c r="A138" t="s">
        <v>2739</v>
      </c>
      <c r="B138" t="b">
        <f t="shared" si="6"/>
        <v>1</v>
      </c>
      <c r="C138" t="s">
        <v>2739</v>
      </c>
      <c r="D138" t="s">
        <v>2740</v>
      </c>
      <c r="E138">
        <v>1726</v>
      </c>
      <c r="F138" t="s">
        <v>297</v>
      </c>
      <c r="G138" t="s">
        <v>3557</v>
      </c>
      <c r="H138" t="s">
        <v>525</v>
      </c>
      <c r="I138" t="s">
        <v>3984</v>
      </c>
      <c r="J138" t="str" cm="1">
        <f t="array" ref="J138">firstword(C138)</f>
        <v>John</v>
      </c>
      <c r="K138" t="str" cm="1">
        <f t="array" ref="K138">lastword(C138)</f>
        <v>Hazelwood</v>
      </c>
      <c r="L138" t="str">
        <f t="shared" si="7"/>
        <v>1726</v>
      </c>
      <c r="M138" t="str">
        <f t="shared" si="8"/>
        <v>1800</v>
      </c>
    </row>
    <row r="139" spans="1:13" x14ac:dyDescent="0.3">
      <c r="A139" t="s">
        <v>2741</v>
      </c>
      <c r="B139" t="b">
        <f t="shared" si="6"/>
        <v>1</v>
      </c>
      <c r="C139" t="s">
        <v>2741</v>
      </c>
      <c r="D139" t="s">
        <v>2742</v>
      </c>
      <c r="E139" t="s">
        <v>3558</v>
      </c>
      <c r="F139" t="s">
        <v>3559</v>
      </c>
      <c r="G139" t="s">
        <v>3560</v>
      </c>
      <c r="H139" t="s">
        <v>3561</v>
      </c>
      <c r="I139" t="s">
        <v>3562</v>
      </c>
      <c r="J139" t="str" cm="1">
        <f t="array" ref="J139">firstword(C139)</f>
        <v>John</v>
      </c>
      <c r="K139" t="str" cm="1">
        <f t="array" ref="K139">lastword(C139)</f>
        <v>Johnson</v>
      </c>
      <c r="L139" t="str">
        <f t="shared" si="7"/>
        <v>1741</v>
      </c>
      <c r="M139" t="str">
        <f t="shared" si="8"/>
        <v>1830</v>
      </c>
    </row>
    <row r="140" spans="1:13" x14ac:dyDescent="0.3">
      <c r="A140" t="s">
        <v>2743</v>
      </c>
      <c r="B140" t="b">
        <f t="shared" si="6"/>
        <v>1</v>
      </c>
      <c r="C140" t="s">
        <v>2743</v>
      </c>
      <c r="D140" t="s">
        <v>2744</v>
      </c>
      <c r="E140" t="s">
        <v>3563</v>
      </c>
      <c r="G140" t="s">
        <v>3564</v>
      </c>
      <c r="H140" t="s">
        <v>3565</v>
      </c>
      <c r="I140" t="s">
        <v>3985</v>
      </c>
      <c r="J140" t="str" cm="1">
        <f t="array" ref="J140">firstword(C140)</f>
        <v>John</v>
      </c>
      <c r="K140" t="str" cm="1">
        <f t="array" ref="K140">lastword(C140)</f>
        <v>Montagu</v>
      </c>
      <c r="L140" t="str">
        <f t="shared" si="7"/>
        <v>1718</v>
      </c>
      <c r="M140" t="str">
        <f t="shared" si="8"/>
        <v>1792</v>
      </c>
    </row>
    <row r="141" spans="1:13" x14ac:dyDescent="0.3">
      <c r="A141" t="s">
        <v>2745</v>
      </c>
      <c r="B141" t="b">
        <f t="shared" si="6"/>
        <v>1</v>
      </c>
      <c r="C141" t="s">
        <v>2745</v>
      </c>
      <c r="D141" t="s">
        <v>2746</v>
      </c>
      <c r="E141">
        <v>1730</v>
      </c>
      <c r="F141" t="s">
        <v>3566</v>
      </c>
      <c r="G141" t="s">
        <v>3567</v>
      </c>
      <c r="H141" t="s">
        <v>3568</v>
      </c>
      <c r="I141" t="s">
        <v>3569</v>
      </c>
      <c r="J141" t="str" cm="1">
        <f t="array" ref="J141">firstword(C141)</f>
        <v>John</v>
      </c>
      <c r="K141" t="str" cm="1">
        <f t="array" ref="K141">lastword(C141)</f>
        <v>Scott</v>
      </c>
      <c r="L141" t="str">
        <f t="shared" si="7"/>
        <v>1730</v>
      </c>
      <c r="M141" t="str">
        <f t="shared" si="8"/>
        <v>1784</v>
      </c>
    </row>
    <row r="142" spans="1:13" x14ac:dyDescent="0.3">
      <c r="A142" t="s">
        <v>2747</v>
      </c>
      <c r="B142" t="b">
        <f t="shared" si="6"/>
        <v>1</v>
      </c>
      <c r="C142" t="s">
        <v>2747</v>
      </c>
      <c r="D142" t="s">
        <v>2748</v>
      </c>
      <c r="E142" t="s">
        <v>3570</v>
      </c>
      <c r="F142" t="s">
        <v>3571</v>
      </c>
      <c r="G142" t="s">
        <v>3931</v>
      </c>
      <c r="H142" t="s">
        <v>3572</v>
      </c>
      <c r="I142" t="s">
        <v>3573</v>
      </c>
      <c r="J142" t="str" cm="1">
        <f t="array" ref="J142">firstword(C142)</f>
        <v>John</v>
      </c>
      <c r="K142" t="str" cm="1">
        <f t="array" ref="K142">lastword(C142)</f>
        <v>Nixon</v>
      </c>
      <c r="L142" t="str">
        <f t="shared" si="7"/>
        <v>1727</v>
      </c>
      <c r="M142" t="str">
        <f t="shared" si="8"/>
        <v>1815</v>
      </c>
    </row>
    <row r="143" spans="1:13" x14ac:dyDescent="0.3">
      <c r="A143" t="s">
        <v>2749</v>
      </c>
      <c r="B143" t="b">
        <f t="shared" si="6"/>
        <v>1</v>
      </c>
      <c r="C143" t="s">
        <v>2749</v>
      </c>
      <c r="D143" t="s">
        <v>2750</v>
      </c>
      <c r="E143" t="s">
        <v>3574</v>
      </c>
      <c r="F143" t="s">
        <v>3575</v>
      </c>
      <c r="G143" t="s">
        <v>3576</v>
      </c>
      <c r="H143" t="s">
        <v>200</v>
      </c>
      <c r="I143" t="s">
        <v>3986</v>
      </c>
      <c r="J143" t="str" cm="1">
        <f t="array" ref="J143">firstword(C143)</f>
        <v>John</v>
      </c>
      <c r="K143" t="str" cm="1">
        <f t="array" ref="K143">lastword(C143)</f>
        <v>Jones</v>
      </c>
      <c r="L143" t="str">
        <f t="shared" si="7"/>
        <v>1747</v>
      </c>
      <c r="M143" t="str">
        <f t="shared" si="8"/>
        <v>1792</v>
      </c>
    </row>
    <row r="144" spans="1:13" x14ac:dyDescent="0.3">
      <c r="A144" t="s">
        <v>2751</v>
      </c>
      <c r="B144" t="b">
        <f t="shared" si="6"/>
        <v>1</v>
      </c>
      <c r="C144" t="s">
        <v>2751</v>
      </c>
      <c r="D144" t="s">
        <v>2752</v>
      </c>
      <c r="J144" t="str" cm="1">
        <f t="array" ref="J144">firstword(C144)</f>
        <v>John</v>
      </c>
      <c r="K144" t="str" cm="1">
        <f t="array" ref="K144">lastword(C144)</f>
        <v>Haas</v>
      </c>
      <c r="L144" t="str">
        <f t="shared" si="7"/>
        <v/>
      </c>
      <c r="M144" t="str">
        <f t="shared" si="8"/>
        <v/>
      </c>
    </row>
    <row r="145" spans="1:13" x14ac:dyDescent="0.3">
      <c r="A145" t="s">
        <v>2753</v>
      </c>
      <c r="B145" t="b">
        <f t="shared" si="6"/>
        <v>1</v>
      </c>
      <c r="C145" t="s">
        <v>2753</v>
      </c>
      <c r="D145" t="s">
        <v>2754</v>
      </c>
      <c r="E145" t="s">
        <v>3577</v>
      </c>
      <c r="F145" t="s">
        <v>3578</v>
      </c>
      <c r="G145" t="s">
        <v>3579</v>
      </c>
      <c r="H145" t="s">
        <v>3580</v>
      </c>
      <c r="I145" t="s">
        <v>3581</v>
      </c>
      <c r="J145" t="str" cm="1">
        <f t="array" ref="J145">firstword(C145)</f>
        <v>John</v>
      </c>
      <c r="K145" t="str" cm="1">
        <f t="array" ref="K145">lastword(C145)</f>
        <v>Pitcairn</v>
      </c>
      <c r="L145" t="str">
        <f t="shared" si="7"/>
        <v>1722</v>
      </c>
      <c r="M145" t="str">
        <f t="shared" si="8"/>
        <v>1775</v>
      </c>
    </row>
    <row r="146" spans="1:13" x14ac:dyDescent="0.3">
      <c r="A146" t="s">
        <v>2755</v>
      </c>
      <c r="B146" t="b">
        <f t="shared" si="6"/>
        <v>1</v>
      </c>
      <c r="C146" t="s">
        <v>2755</v>
      </c>
      <c r="D146" t="s">
        <v>2756</v>
      </c>
      <c r="E146" t="s">
        <v>3582</v>
      </c>
      <c r="F146" t="s">
        <v>3583</v>
      </c>
      <c r="G146" t="s">
        <v>3584</v>
      </c>
      <c r="H146" t="s">
        <v>3585</v>
      </c>
      <c r="I146" t="s">
        <v>3586</v>
      </c>
      <c r="J146" t="str" cm="1">
        <f t="array" ref="J146">firstword(C146)</f>
        <v>John</v>
      </c>
      <c r="K146" t="str" cm="1">
        <f t="array" ref="K146">lastword(C146)</f>
        <v>Stark</v>
      </c>
      <c r="L146" t="str">
        <f t="shared" si="7"/>
        <v>1728</v>
      </c>
      <c r="M146" t="str">
        <f t="shared" si="8"/>
        <v>1822</v>
      </c>
    </row>
    <row r="147" spans="1:13" x14ac:dyDescent="0.3">
      <c r="A147" t="s">
        <v>2757</v>
      </c>
      <c r="B147" t="b">
        <f t="shared" si="6"/>
        <v>1</v>
      </c>
      <c r="C147" t="s">
        <v>2757</v>
      </c>
      <c r="D147" t="s">
        <v>2758</v>
      </c>
      <c r="E147" t="s">
        <v>3587</v>
      </c>
      <c r="F147" t="s">
        <v>3588</v>
      </c>
      <c r="G147" t="s">
        <v>3589</v>
      </c>
      <c r="H147" t="s">
        <v>3590</v>
      </c>
      <c r="I147" t="s">
        <v>3591</v>
      </c>
      <c r="J147" t="str" cm="1">
        <f t="array" ref="J147">firstword(C147)</f>
        <v>John</v>
      </c>
      <c r="K147" t="str" cm="1">
        <f t="array" ref="K147">lastword(C147)</f>
        <v>Stricker</v>
      </c>
      <c r="L147" t="str">
        <f t="shared" si="7"/>
        <v>1759</v>
      </c>
      <c r="M147" t="str">
        <f t="shared" si="8"/>
        <v>1825</v>
      </c>
    </row>
    <row r="148" spans="1:13" x14ac:dyDescent="0.3">
      <c r="A148" t="s">
        <v>2759</v>
      </c>
      <c r="B148" t="b">
        <f t="shared" si="6"/>
        <v>1</v>
      </c>
      <c r="C148" t="s">
        <v>2759</v>
      </c>
      <c r="D148" t="s">
        <v>2760</v>
      </c>
      <c r="E148" t="s">
        <v>3592</v>
      </c>
      <c r="F148" t="s">
        <v>3593</v>
      </c>
      <c r="G148" t="s">
        <v>3594</v>
      </c>
      <c r="H148" t="s">
        <v>3595</v>
      </c>
      <c r="I148" t="s">
        <v>3987</v>
      </c>
      <c r="J148" t="str" cm="1">
        <f t="array" ref="J148">firstword(C148)</f>
        <v>John</v>
      </c>
      <c r="K148" t="str" cm="1">
        <f t="array" ref="K148">lastword(C148)</f>
        <v>Sullivan</v>
      </c>
      <c r="L148" t="str">
        <f t="shared" si="7"/>
        <v>1740</v>
      </c>
      <c r="M148" t="str">
        <f t="shared" si="8"/>
        <v>1795</v>
      </c>
    </row>
    <row r="149" spans="1:13" x14ac:dyDescent="0.3">
      <c r="A149" t="s">
        <v>2761</v>
      </c>
      <c r="B149" t="b">
        <f t="shared" si="6"/>
        <v>1</v>
      </c>
      <c r="C149" t="s">
        <v>2761</v>
      </c>
      <c r="D149" t="s">
        <v>2762</v>
      </c>
      <c r="E149">
        <v>1724</v>
      </c>
      <c r="F149" t="s">
        <v>3596</v>
      </c>
      <c r="H149" t="s">
        <v>3597</v>
      </c>
      <c r="I149" t="s">
        <v>3988</v>
      </c>
      <c r="J149" t="str" cm="1">
        <f t="array" ref="J149">firstword(C149)</f>
        <v>John</v>
      </c>
      <c r="K149" t="str" cm="1">
        <f t="array" ref="K149">lastword(C149)</f>
        <v>Thomas</v>
      </c>
      <c r="L149" t="str">
        <f t="shared" si="7"/>
        <v>1724</v>
      </c>
      <c r="M149" t="str">
        <f t="shared" si="8"/>
        <v/>
      </c>
    </row>
    <row r="150" spans="1:13" x14ac:dyDescent="0.3">
      <c r="A150" t="s">
        <v>2763</v>
      </c>
      <c r="B150" t="b">
        <f t="shared" si="6"/>
        <v>1</v>
      </c>
      <c r="C150" t="s">
        <v>2763</v>
      </c>
      <c r="D150" t="s">
        <v>2764</v>
      </c>
      <c r="E150" t="s">
        <v>3598</v>
      </c>
      <c r="F150" t="s">
        <v>3599</v>
      </c>
      <c r="G150" t="s">
        <v>3600</v>
      </c>
      <c r="H150" t="s">
        <v>3601</v>
      </c>
      <c r="I150" t="s">
        <v>3602</v>
      </c>
      <c r="J150" t="str" cm="1">
        <f t="array" ref="J150">firstword(C150)</f>
        <v>Jose</v>
      </c>
      <c r="K150" t="str" cm="1">
        <f t="array" ref="K150">lastword(C150)</f>
        <v>Bote</v>
      </c>
      <c r="L150" t="str">
        <f t="shared" si="7"/>
        <v>1726</v>
      </c>
      <c r="M150" t="str">
        <f t="shared" si="8"/>
        <v>1806</v>
      </c>
    </row>
    <row r="151" spans="1:13" x14ac:dyDescent="0.3">
      <c r="A151" t="s">
        <v>2765</v>
      </c>
      <c r="B151" t="b">
        <f t="shared" si="6"/>
        <v>1</v>
      </c>
      <c r="C151" t="s">
        <v>2765</v>
      </c>
      <c r="D151" t="s">
        <v>2766</v>
      </c>
      <c r="E151" t="s">
        <v>3603</v>
      </c>
      <c r="F151" t="s">
        <v>3604</v>
      </c>
      <c r="G151" t="s">
        <v>3605</v>
      </c>
      <c r="I151" t="s">
        <v>3606</v>
      </c>
      <c r="J151" t="str" cm="1">
        <f t="array" ref="J151">firstword(C151)</f>
        <v>Joseph</v>
      </c>
      <c r="K151" t="str" cm="1">
        <f t="array" ref="K151">lastword(C151)</f>
        <v>Frye</v>
      </c>
      <c r="L151" t="str">
        <f t="shared" si="7"/>
        <v>1712</v>
      </c>
      <c r="M151" t="str">
        <f t="shared" si="8"/>
        <v>1794</v>
      </c>
    </row>
    <row r="152" spans="1:13" x14ac:dyDescent="0.3">
      <c r="A152" t="s">
        <v>2767</v>
      </c>
      <c r="B152" t="b">
        <f t="shared" si="6"/>
        <v>1</v>
      </c>
      <c r="C152" t="s">
        <v>2767</v>
      </c>
      <c r="D152" t="s">
        <v>2768</v>
      </c>
      <c r="E152">
        <v>1740</v>
      </c>
      <c r="F152" t="s">
        <v>3608</v>
      </c>
      <c r="G152">
        <v>1808</v>
      </c>
      <c r="H152" t="s">
        <v>3607</v>
      </c>
      <c r="I152" t="s">
        <v>3609</v>
      </c>
      <c r="J152" t="str" cm="1">
        <f t="array" ref="J152">firstword(C152)</f>
        <v>Joseph</v>
      </c>
      <c r="K152" t="str" cm="1">
        <f t="array" ref="K152">lastword(C152)</f>
        <v>Martin</v>
      </c>
      <c r="L152" t="str">
        <f t="shared" si="7"/>
        <v>1740</v>
      </c>
      <c r="M152" t="str">
        <f t="shared" si="8"/>
        <v>1808</v>
      </c>
    </row>
    <row r="153" spans="1:13" x14ac:dyDescent="0.3">
      <c r="A153" t="s">
        <v>2769</v>
      </c>
      <c r="B153" t="b">
        <f t="shared" si="6"/>
        <v>1</v>
      </c>
      <c r="C153" t="s">
        <v>2769</v>
      </c>
      <c r="D153" t="s">
        <v>2770</v>
      </c>
      <c r="E153" t="s">
        <v>3610</v>
      </c>
      <c r="F153" t="s">
        <v>3611</v>
      </c>
      <c r="G153" t="s">
        <v>3932</v>
      </c>
      <c r="H153" t="s">
        <v>402</v>
      </c>
      <c r="I153" t="s">
        <v>3612</v>
      </c>
      <c r="J153" t="str" cm="1">
        <f t="array" ref="J153">firstword(C153)</f>
        <v>Joseph</v>
      </c>
      <c r="K153" t="str" cm="1">
        <f t="array" ref="K153">lastword(C153)</f>
        <v>Palmer</v>
      </c>
      <c r="L153" t="str">
        <f t="shared" si="7"/>
        <v>1716</v>
      </c>
      <c r="M153" t="str">
        <f t="shared" si="8"/>
        <v>1788</v>
      </c>
    </row>
    <row r="154" spans="1:13" x14ac:dyDescent="0.3">
      <c r="A154" t="s">
        <v>2771</v>
      </c>
      <c r="B154" t="b">
        <f t="shared" si="6"/>
        <v>1</v>
      </c>
      <c r="C154" t="s">
        <v>2771</v>
      </c>
      <c r="D154" t="s">
        <v>2772</v>
      </c>
      <c r="E154" t="s">
        <v>3613</v>
      </c>
      <c r="F154" t="s">
        <v>3614</v>
      </c>
      <c r="G154" t="s">
        <v>3933</v>
      </c>
      <c r="H154" t="s">
        <v>3615</v>
      </c>
      <c r="I154" t="s">
        <v>3989</v>
      </c>
      <c r="J154" t="str" cm="1">
        <f t="array" ref="J154">firstword(C154)</f>
        <v>Joseph</v>
      </c>
      <c r="K154" t="str" cm="1">
        <f t="array" ref="K154">lastword(C154)</f>
        <v>Spencer</v>
      </c>
      <c r="L154" t="str">
        <f t="shared" si="7"/>
        <v>1714</v>
      </c>
      <c r="M154" t="str">
        <f t="shared" si="8"/>
        <v>1789</v>
      </c>
    </row>
    <row r="155" spans="1:13" x14ac:dyDescent="0.3">
      <c r="A155" t="s">
        <v>2773</v>
      </c>
      <c r="B155" t="b">
        <f t="shared" si="6"/>
        <v>1</v>
      </c>
      <c r="C155" t="s">
        <v>2773</v>
      </c>
      <c r="D155" t="s">
        <v>2774</v>
      </c>
      <c r="E155" t="s">
        <v>3616</v>
      </c>
      <c r="F155" t="s">
        <v>3617</v>
      </c>
      <c r="G155" t="s">
        <v>3618</v>
      </c>
      <c r="H155" t="s">
        <v>3619</v>
      </c>
      <c r="I155" t="s">
        <v>3990</v>
      </c>
      <c r="J155" t="str" cm="1">
        <f t="array" ref="J155">firstword(C155)</f>
        <v>Joseph</v>
      </c>
      <c r="K155" t="str" cm="1">
        <f t="array" ref="K155">lastword(C155)</f>
        <v>Warren</v>
      </c>
      <c r="L155" t="str">
        <f t="shared" si="7"/>
        <v>1741</v>
      </c>
      <c r="M155" t="str">
        <f t="shared" si="8"/>
        <v>1775</v>
      </c>
    </row>
    <row r="156" spans="1:13" x14ac:dyDescent="0.3">
      <c r="A156" t="s">
        <v>2775</v>
      </c>
      <c r="B156" t="b">
        <f t="shared" si="6"/>
        <v>1</v>
      </c>
      <c r="C156" t="s">
        <v>2775</v>
      </c>
      <c r="D156" t="s">
        <v>2776</v>
      </c>
      <c r="E156">
        <v>1707</v>
      </c>
      <c r="F156" t="s">
        <v>3620</v>
      </c>
      <c r="G156">
        <v>1783</v>
      </c>
      <c r="I156" t="s">
        <v>3621</v>
      </c>
      <c r="J156" t="str" cm="1">
        <f t="array" ref="J156">firstword(C156)</f>
        <v>Joshua</v>
      </c>
      <c r="K156" t="str" cm="1">
        <f t="array" ref="K156">lastword(C156)</f>
        <v>Babcock</v>
      </c>
      <c r="L156" t="str">
        <f t="shared" si="7"/>
        <v>1707</v>
      </c>
      <c r="M156" t="str">
        <f t="shared" si="8"/>
        <v>1783</v>
      </c>
    </row>
    <row r="157" spans="1:13" x14ac:dyDescent="0.3">
      <c r="A157" t="s">
        <v>2777</v>
      </c>
      <c r="B157" t="b">
        <f t="shared" si="6"/>
        <v>1</v>
      </c>
      <c r="C157" t="s">
        <v>2777</v>
      </c>
      <c r="D157" t="s">
        <v>2778</v>
      </c>
      <c r="E157">
        <v>1736</v>
      </c>
      <c r="F157" t="s">
        <v>3622</v>
      </c>
      <c r="G157">
        <v>1806</v>
      </c>
      <c r="H157" t="s">
        <v>3623</v>
      </c>
      <c r="I157" t="s">
        <v>3624</v>
      </c>
      <c r="J157" t="str" cm="1">
        <f t="array" ref="J157">firstword(C157)</f>
        <v>Juan</v>
      </c>
      <c r="K157" t="str" cm="1">
        <f t="array" ref="K157">lastword(C157)</f>
        <v>Lángara</v>
      </c>
      <c r="L157" t="str">
        <f t="shared" si="7"/>
        <v>1736</v>
      </c>
      <c r="M157" t="str">
        <f t="shared" si="8"/>
        <v>1806</v>
      </c>
    </row>
    <row r="158" spans="1:13" x14ac:dyDescent="0.3">
      <c r="A158" t="s">
        <v>2779</v>
      </c>
      <c r="B158" t="b">
        <f t="shared" si="6"/>
        <v>1</v>
      </c>
      <c r="C158" t="s">
        <v>2779</v>
      </c>
      <c r="D158" t="s">
        <v>2780</v>
      </c>
      <c r="J158" t="str" cm="1">
        <f t="array" ref="J158">firstword(C158)</f>
        <v>Juan</v>
      </c>
      <c r="K158" t="str" cm="1">
        <f t="array" ref="K158">lastword(C158)</f>
        <v>Monserrat</v>
      </c>
      <c r="L158" t="str">
        <f t="shared" si="7"/>
        <v/>
      </c>
      <c r="M158" t="str">
        <f t="shared" si="8"/>
        <v/>
      </c>
    </row>
    <row r="159" spans="1:13" x14ac:dyDescent="0.3">
      <c r="A159" t="s">
        <v>2781</v>
      </c>
      <c r="B159" t="b">
        <f t="shared" si="6"/>
        <v>1</v>
      </c>
      <c r="C159" t="s">
        <v>2781</v>
      </c>
      <c r="D159" t="s">
        <v>2782</v>
      </c>
      <c r="E159" t="s">
        <v>3625</v>
      </c>
      <c r="F159" t="s">
        <v>3626</v>
      </c>
      <c r="G159" t="s">
        <v>3627</v>
      </c>
      <c r="H159" t="s">
        <v>3628</v>
      </c>
      <c r="I159" t="s">
        <v>3991</v>
      </c>
      <c r="J159" t="str" cm="1">
        <f t="array" ref="J159">firstword(C159)</f>
        <v>Kazimierz</v>
      </c>
      <c r="K159" t="str" cm="1">
        <f t="array" ref="K159">lastword(C159)</f>
        <v>Pułaski</v>
      </c>
      <c r="L159" t="str">
        <f t="shared" si="7"/>
        <v>1745</v>
      </c>
      <c r="M159" t="str">
        <f t="shared" si="8"/>
        <v>1779</v>
      </c>
    </row>
    <row r="160" spans="1:13" x14ac:dyDescent="0.3">
      <c r="A160" t="s">
        <v>2783</v>
      </c>
      <c r="B160" t="b">
        <f t="shared" si="6"/>
        <v>1</v>
      </c>
      <c r="C160" t="s">
        <v>2783</v>
      </c>
      <c r="D160" t="s">
        <v>2784</v>
      </c>
      <c r="E160" t="s">
        <v>3629</v>
      </c>
      <c r="F160" t="s">
        <v>3630</v>
      </c>
      <c r="G160" t="s">
        <v>3631</v>
      </c>
      <c r="H160" t="s">
        <v>3632</v>
      </c>
      <c r="I160" t="s">
        <v>3992</v>
      </c>
      <c r="J160" t="str" cm="1">
        <f t="array" ref="J160">firstword(C160)</f>
        <v>King</v>
      </c>
      <c r="K160" t="str" cm="1">
        <f t="array" ref="K160">lastword(C160)</f>
        <v>III</v>
      </c>
      <c r="L160" t="str">
        <f t="shared" si="7"/>
        <v>1738</v>
      </c>
      <c r="M160" t="str">
        <f t="shared" si="8"/>
        <v>1820</v>
      </c>
    </row>
    <row r="161" spans="1:13" x14ac:dyDescent="0.3">
      <c r="A161" t="s">
        <v>2785</v>
      </c>
      <c r="B161" t="b">
        <f t="shared" si="6"/>
        <v>1</v>
      </c>
      <c r="C161" t="s">
        <v>2785</v>
      </c>
      <c r="D161" t="s">
        <v>2786</v>
      </c>
      <c r="E161" t="s">
        <v>3633</v>
      </c>
      <c r="F161" t="s">
        <v>3634</v>
      </c>
      <c r="G161" t="s">
        <v>3635</v>
      </c>
      <c r="H161" t="s">
        <v>3636</v>
      </c>
      <c r="I161" t="s">
        <v>3993</v>
      </c>
      <c r="J161" t="str" cm="1">
        <f t="array" ref="J161">firstword(C161)</f>
        <v>King</v>
      </c>
      <c r="K161" t="str" cm="1">
        <f t="array" ref="K161">lastword(C161)</f>
        <v>XVI</v>
      </c>
      <c r="L161" t="str">
        <f t="shared" si="7"/>
        <v>1754</v>
      </c>
      <c r="M161" t="str">
        <f t="shared" si="8"/>
        <v>1793</v>
      </c>
    </row>
    <row r="162" spans="1:13" x14ac:dyDescent="0.3">
      <c r="A162" t="s">
        <v>2787</v>
      </c>
      <c r="B162" t="b">
        <f t="shared" si="6"/>
        <v>1</v>
      </c>
      <c r="C162" t="s">
        <v>2787</v>
      </c>
      <c r="D162" t="s">
        <v>2788</v>
      </c>
      <c r="E162" t="s">
        <v>3637</v>
      </c>
      <c r="F162" t="s">
        <v>3638</v>
      </c>
      <c r="G162" t="s">
        <v>3639</v>
      </c>
      <c r="H162" t="s">
        <v>3640</v>
      </c>
      <c r="I162" t="s">
        <v>3641</v>
      </c>
      <c r="J162" t="str" cm="1">
        <f t="array" ref="J162">firstword(C162)</f>
        <v>Lachlan</v>
      </c>
      <c r="K162" t="str" cm="1">
        <f t="array" ref="K162">lastword(C162)</f>
        <v>McIntosh</v>
      </c>
      <c r="L162" t="str">
        <f t="shared" si="7"/>
        <v>1725</v>
      </c>
      <c r="M162" t="str">
        <f t="shared" si="8"/>
        <v>1806</v>
      </c>
    </row>
    <row r="163" spans="1:13" x14ac:dyDescent="0.3">
      <c r="A163" t="s">
        <v>2789</v>
      </c>
      <c r="B163" t="b">
        <f t="shared" si="6"/>
        <v>1</v>
      </c>
      <c r="C163" t="s">
        <v>2789</v>
      </c>
      <c r="D163" t="s">
        <v>2790</v>
      </c>
      <c r="E163" t="s">
        <v>3642</v>
      </c>
      <c r="F163" t="s">
        <v>3643</v>
      </c>
      <c r="G163" t="s">
        <v>3644</v>
      </c>
      <c r="H163" t="s">
        <v>3645</v>
      </c>
      <c r="I163" t="s">
        <v>3994</v>
      </c>
      <c r="J163" t="str" cm="1">
        <f t="array" ref="J163">firstword(C163)</f>
        <v>Leopold</v>
      </c>
      <c r="K163" t="str" cm="1">
        <f t="array" ref="K163">lastword(C163)</f>
        <v>Heister</v>
      </c>
      <c r="L163" t="str">
        <f t="shared" si="7"/>
        <v>1716</v>
      </c>
      <c r="M163" t="str">
        <f t="shared" si="8"/>
        <v>1777</v>
      </c>
    </row>
    <row r="164" spans="1:13" x14ac:dyDescent="0.3">
      <c r="A164" t="s">
        <v>2791</v>
      </c>
      <c r="B164" t="b">
        <f t="shared" si="6"/>
        <v>1</v>
      </c>
      <c r="C164" t="s">
        <v>2791</v>
      </c>
      <c r="D164" t="s">
        <v>2792</v>
      </c>
      <c r="E164" t="s">
        <v>3646</v>
      </c>
      <c r="F164" t="s">
        <v>200</v>
      </c>
      <c r="G164" t="s">
        <v>3647</v>
      </c>
      <c r="H164" t="s">
        <v>200</v>
      </c>
      <c r="I164" t="s">
        <v>3995</v>
      </c>
      <c r="J164" t="str" cm="1">
        <f t="array" ref="J164">firstword(C164)</f>
        <v>Louis</v>
      </c>
      <c r="K164" t="str" cm="1">
        <f t="array" ref="K164">lastword(C164)</f>
        <v>Bougainville</v>
      </c>
      <c r="L164" t="str">
        <f t="shared" si="7"/>
        <v>1729</v>
      </c>
      <c r="M164" t="str">
        <f t="shared" si="8"/>
        <v>1811</v>
      </c>
    </row>
    <row r="165" spans="1:13" x14ac:dyDescent="0.3">
      <c r="A165" t="s">
        <v>2793</v>
      </c>
      <c r="B165" t="b">
        <f t="shared" si="6"/>
        <v>1</v>
      </c>
      <c r="C165" t="s">
        <v>2793</v>
      </c>
      <c r="D165" t="s">
        <v>2794</v>
      </c>
      <c r="E165" t="s">
        <v>3648</v>
      </c>
      <c r="F165" t="s">
        <v>3649</v>
      </c>
      <c r="G165" t="s">
        <v>3650</v>
      </c>
      <c r="H165" t="s">
        <v>3623</v>
      </c>
      <c r="I165" t="s">
        <v>3996</v>
      </c>
      <c r="J165" t="str" cm="1">
        <f t="array" ref="J165">firstword(C165)</f>
        <v>Louis</v>
      </c>
      <c r="K165" t="str" cm="1">
        <f t="array" ref="K165">lastword(C165)</f>
        <v>Crillon</v>
      </c>
      <c r="L165" t="str">
        <f t="shared" si="7"/>
        <v>1717</v>
      </c>
      <c r="M165" t="str">
        <f t="shared" si="8"/>
        <v>1796</v>
      </c>
    </row>
    <row r="166" spans="1:13" x14ac:dyDescent="0.3">
      <c r="A166" t="s">
        <v>2795</v>
      </c>
      <c r="B166" t="b">
        <f t="shared" si="6"/>
        <v>1</v>
      </c>
      <c r="C166" t="s">
        <v>2795</v>
      </c>
      <c r="D166" t="s">
        <v>2796</v>
      </c>
      <c r="E166" t="s">
        <v>3651</v>
      </c>
      <c r="F166" t="s">
        <v>3652</v>
      </c>
      <c r="G166" t="s">
        <v>3653</v>
      </c>
      <c r="H166" t="s">
        <v>3654</v>
      </c>
      <c r="I166" t="s">
        <v>3655</v>
      </c>
      <c r="J166" t="str" cm="1">
        <f t="array" ref="J166">firstword(C166)</f>
        <v>Louis</v>
      </c>
      <c r="K166" t="str" cm="1">
        <f t="array" ref="K166">lastword(C166)</f>
        <v>Bourbon</v>
      </c>
      <c r="L166" t="str">
        <f t="shared" si="7"/>
        <v>1725</v>
      </c>
      <c r="M166" t="str">
        <f t="shared" si="8"/>
        <v>1793</v>
      </c>
    </row>
    <row r="167" spans="1:13" x14ac:dyDescent="0.3">
      <c r="A167" t="s">
        <v>2797</v>
      </c>
      <c r="B167" t="b">
        <f t="shared" si="6"/>
        <v>1</v>
      </c>
      <c r="C167" t="s">
        <v>2797</v>
      </c>
      <c r="D167" t="s">
        <v>2798</v>
      </c>
      <c r="E167" t="s">
        <v>3656</v>
      </c>
      <c r="G167" t="s">
        <v>3657</v>
      </c>
      <c r="I167" t="s">
        <v>3997</v>
      </c>
      <c r="J167" t="str" cm="1">
        <f t="array" ref="J167">firstword(C167)</f>
        <v>Louis</v>
      </c>
      <c r="K167" t="str" cm="1">
        <f t="array" ref="K167">lastword(C167)</f>
        <v>Duportail</v>
      </c>
      <c r="L167" t="str">
        <f t="shared" si="7"/>
        <v>1743</v>
      </c>
      <c r="M167" t="str">
        <f t="shared" si="8"/>
        <v>1802</v>
      </c>
    </row>
    <row r="168" spans="1:13" x14ac:dyDescent="0.3">
      <c r="A168" t="s">
        <v>2799</v>
      </c>
      <c r="B168" t="b">
        <f t="shared" si="6"/>
        <v>1</v>
      </c>
      <c r="C168" t="s">
        <v>2799</v>
      </c>
      <c r="D168" t="s">
        <v>2800</v>
      </c>
      <c r="E168" t="s">
        <v>3658</v>
      </c>
      <c r="F168" t="s">
        <v>3659</v>
      </c>
      <c r="G168" t="s">
        <v>3660</v>
      </c>
      <c r="H168" t="s">
        <v>3661</v>
      </c>
      <c r="I168" t="s">
        <v>3998</v>
      </c>
      <c r="J168" t="str" cm="1">
        <f t="array" ref="J168">firstword(C168)</f>
        <v>Luc</v>
      </c>
      <c r="K168" t="str" cm="1">
        <f t="array" ref="K168">lastword(C168)</f>
        <v>Bouexic</v>
      </c>
      <c r="L168" t="str">
        <f t="shared" si="7"/>
        <v>1712</v>
      </c>
      <c r="M168" t="str">
        <f t="shared" si="8"/>
        <v>1790</v>
      </c>
    </row>
    <row r="169" spans="1:13" x14ac:dyDescent="0.3">
      <c r="A169" t="s">
        <v>2801</v>
      </c>
      <c r="B169" t="b">
        <f t="shared" si="6"/>
        <v>1</v>
      </c>
      <c r="C169" t="s">
        <v>2801</v>
      </c>
      <c r="D169" t="s">
        <v>2802</v>
      </c>
      <c r="E169" t="s">
        <v>3662</v>
      </c>
      <c r="F169" t="s">
        <v>3663</v>
      </c>
      <c r="G169" t="s">
        <v>3664</v>
      </c>
      <c r="H169" t="s">
        <v>3665</v>
      </c>
      <c r="I169" t="s">
        <v>3999</v>
      </c>
      <c r="J169" t="str" cm="1">
        <f t="array" ref="J169">firstword(C169)</f>
        <v>Luis</v>
      </c>
      <c r="K169" t="str" cm="1">
        <f t="array" ref="K169">lastword(C169)</f>
        <v>Córdova</v>
      </c>
      <c r="L169" t="str">
        <f t="shared" si="7"/>
        <v>1706</v>
      </c>
      <c r="M169" t="str">
        <f t="shared" si="8"/>
        <v>1796</v>
      </c>
    </row>
    <row r="170" spans="1:13" x14ac:dyDescent="0.3">
      <c r="A170" t="s">
        <v>2803</v>
      </c>
      <c r="B170" t="b">
        <f t="shared" si="6"/>
        <v>1</v>
      </c>
      <c r="C170" t="s">
        <v>2803</v>
      </c>
      <c r="D170" t="s">
        <v>2804</v>
      </c>
      <c r="E170">
        <v>1711</v>
      </c>
      <c r="F170" t="s">
        <v>3666</v>
      </c>
      <c r="G170" t="s">
        <v>3667</v>
      </c>
      <c r="H170" t="s">
        <v>3153</v>
      </c>
      <c r="I170" t="s">
        <v>3668</v>
      </c>
      <c r="J170" t="str" cm="1">
        <f t="array" ref="J170">firstword(C170)</f>
        <v>Mariot</v>
      </c>
      <c r="K170" t="str" cm="1">
        <f t="array" ref="K170">lastword(C170)</f>
        <v>Arbuthnot</v>
      </c>
      <c r="L170" t="str">
        <f t="shared" si="7"/>
        <v>1711</v>
      </c>
      <c r="M170" t="str">
        <f t="shared" si="8"/>
        <v>1794</v>
      </c>
    </row>
    <row r="171" spans="1:13" x14ac:dyDescent="0.3">
      <c r="A171" t="s">
        <v>2805</v>
      </c>
      <c r="B171" t="b">
        <f t="shared" si="6"/>
        <v>1</v>
      </c>
      <c r="C171" t="s">
        <v>2805</v>
      </c>
      <c r="D171" t="s">
        <v>2806</v>
      </c>
      <c r="E171">
        <v>1723</v>
      </c>
      <c r="G171">
        <v>1819</v>
      </c>
      <c r="I171" t="s">
        <v>4034</v>
      </c>
      <c r="J171" t="str" cm="1">
        <f t="array" ref="J171">firstword(C171)</f>
        <v>Martín</v>
      </c>
      <c r="K171" t="str" cm="1">
        <f t="array" ref="K171">lastword(C171)</f>
        <v>Sotomayor</v>
      </c>
      <c r="L171" t="str">
        <f t="shared" si="7"/>
        <v>1723</v>
      </c>
      <c r="M171" t="str">
        <f t="shared" si="8"/>
        <v>1819</v>
      </c>
    </row>
    <row r="172" spans="1:13" x14ac:dyDescent="0.3">
      <c r="A172" t="s">
        <v>2807</v>
      </c>
      <c r="B172" t="b">
        <f t="shared" si="6"/>
        <v>1</v>
      </c>
      <c r="C172" t="s">
        <v>2807</v>
      </c>
      <c r="D172" t="s">
        <v>2808</v>
      </c>
      <c r="E172">
        <v>1717</v>
      </c>
      <c r="F172" t="s">
        <v>3669</v>
      </c>
      <c r="G172" t="s">
        <v>3670</v>
      </c>
      <c r="H172" t="s">
        <v>3671</v>
      </c>
      <c r="I172" t="s">
        <v>3672</v>
      </c>
      <c r="J172" t="str" cm="1">
        <f t="array" ref="J172">firstword(C172)</f>
        <v>Matías</v>
      </c>
      <c r="K172" t="str" cm="1">
        <f t="array" ref="K172">lastword(C172)</f>
        <v>Gallardo</v>
      </c>
      <c r="L172" t="str">
        <f t="shared" si="7"/>
        <v>1717</v>
      </c>
      <c r="M172" t="str">
        <f t="shared" si="8"/>
        <v>1784</v>
      </c>
    </row>
    <row r="173" spans="1:13" x14ac:dyDescent="0.3">
      <c r="A173" t="s">
        <v>2809</v>
      </c>
      <c r="B173" t="b">
        <f t="shared" si="6"/>
        <v>1</v>
      </c>
      <c r="C173" t="s">
        <v>2809</v>
      </c>
      <c r="D173" t="s">
        <v>2810</v>
      </c>
      <c r="E173">
        <v>1730</v>
      </c>
      <c r="F173" t="s">
        <v>3673</v>
      </c>
      <c r="G173" t="s">
        <v>3674</v>
      </c>
      <c r="I173" t="s">
        <v>3675</v>
      </c>
      <c r="J173" t="str" cm="1">
        <f t="array" ref="J173">firstword(C173)</f>
        <v>Matthew</v>
      </c>
      <c r="K173" t="str" cm="1">
        <f t="array" ref="K173">lastword(C173)</f>
        <v>Locke</v>
      </c>
      <c r="L173" t="str">
        <f t="shared" si="7"/>
        <v>1730</v>
      </c>
      <c r="M173" t="str">
        <f t="shared" si="8"/>
        <v>1801</v>
      </c>
    </row>
    <row r="174" spans="1:13" x14ac:dyDescent="0.3">
      <c r="A174" t="s">
        <v>2811</v>
      </c>
      <c r="B174" t="b">
        <f t="shared" si="6"/>
        <v>1</v>
      </c>
      <c r="C174" t="s">
        <v>2811</v>
      </c>
      <c r="D174" t="s">
        <v>2812</v>
      </c>
      <c r="E174" t="s">
        <v>3676</v>
      </c>
      <c r="I174" t="s">
        <v>3677</v>
      </c>
      <c r="J174" t="str" cm="1">
        <f t="array" ref="J174">firstword(C174)</f>
        <v>Matthias</v>
      </c>
      <c r="K174" t="str" cm="1">
        <f t="array" ref="K174">lastword(C174)</f>
        <v>Fermoy</v>
      </c>
      <c r="L174" t="str">
        <f t="shared" si="7"/>
        <v>1737</v>
      </c>
      <c r="M174" t="str">
        <f t="shared" si="8"/>
        <v/>
      </c>
    </row>
    <row r="175" spans="1:13" x14ac:dyDescent="0.3">
      <c r="A175" t="s">
        <v>2813</v>
      </c>
      <c r="B175" t="b">
        <f t="shared" si="6"/>
        <v>1</v>
      </c>
      <c r="C175" t="s">
        <v>2813</v>
      </c>
      <c r="D175" t="s">
        <v>2814</v>
      </c>
      <c r="E175">
        <v>1724</v>
      </c>
      <c r="F175" t="s">
        <v>3678</v>
      </c>
      <c r="G175" t="s">
        <v>3679</v>
      </c>
      <c r="H175" t="s">
        <v>3256</v>
      </c>
      <c r="I175" t="s">
        <v>4000</v>
      </c>
      <c r="J175" t="str" cm="1">
        <f t="array" ref="J175">firstword(C175)</f>
        <v>Michael</v>
      </c>
      <c r="K175" t="str" cm="1">
        <f t="array" ref="K175">lastword(C175)</f>
        <v>Kovats</v>
      </c>
      <c r="L175" t="str">
        <f t="shared" si="7"/>
        <v>1724</v>
      </c>
      <c r="M175" t="str">
        <f t="shared" si="8"/>
        <v>1779</v>
      </c>
    </row>
    <row r="176" spans="1:13" x14ac:dyDescent="0.3">
      <c r="A176" t="s">
        <v>2815</v>
      </c>
      <c r="B176" t="b">
        <f t="shared" si="6"/>
        <v>1</v>
      </c>
      <c r="C176" t="s">
        <v>2815</v>
      </c>
      <c r="D176" t="s">
        <v>2816</v>
      </c>
      <c r="E176">
        <v>1743</v>
      </c>
      <c r="F176" t="s">
        <v>3680</v>
      </c>
      <c r="G176">
        <v>1792</v>
      </c>
      <c r="H176" t="s">
        <v>3681</v>
      </c>
      <c r="I176" t="s">
        <v>3682</v>
      </c>
      <c r="J176" t="str" cm="1">
        <f t="array" ref="J176">firstword(C176)</f>
        <v>Mordecai</v>
      </c>
      <c r="K176" t="str" cm="1">
        <f t="array" ref="K176">lastword(C176)</f>
        <v>Gist</v>
      </c>
      <c r="L176" t="str">
        <f t="shared" si="7"/>
        <v>1743</v>
      </c>
      <c r="M176" t="str">
        <f t="shared" si="8"/>
        <v>1792</v>
      </c>
    </row>
    <row r="177" spans="1:13" x14ac:dyDescent="0.3">
      <c r="A177" t="s">
        <v>2817</v>
      </c>
      <c r="B177" t="b">
        <f t="shared" si="6"/>
        <v>1</v>
      </c>
      <c r="C177" t="s">
        <v>2817</v>
      </c>
      <c r="D177" t="s">
        <v>2818</v>
      </c>
      <c r="E177" t="s">
        <v>3683</v>
      </c>
      <c r="F177" t="s">
        <v>3684</v>
      </c>
      <c r="G177" t="s">
        <v>3685</v>
      </c>
      <c r="H177" t="s">
        <v>3686</v>
      </c>
      <c r="I177" t="s">
        <v>3687</v>
      </c>
      <c r="J177" t="str" cm="1">
        <f t="array" ref="J177">firstword(C177)</f>
        <v>Moses</v>
      </c>
      <c r="K177" t="str" cm="1">
        <f t="array" ref="K177">lastword(C177)</f>
        <v>Hazen</v>
      </c>
      <c r="L177" t="str">
        <f t="shared" si="7"/>
        <v>1733</v>
      </c>
      <c r="M177" t="str">
        <f t="shared" si="8"/>
        <v>1803</v>
      </c>
    </row>
    <row r="178" spans="1:13" x14ac:dyDescent="0.3">
      <c r="A178" t="s">
        <v>2819</v>
      </c>
      <c r="B178" t="b">
        <f t="shared" si="6"/>
        <v>1</v>
      </c>
      <c r="C178" t="s">
        <v>2819</v>
      </c>
      <c r="D178" t="s">
        <v>2820</v>
      </c>
      <c r="E178" t="s">
        <v>3688</v>
      </c>
      <c r="F178" t="s">
        <v>406</v>
      </c>
      <c r="G178" t="s">
        <v>3934</v>
      </c>
      <c r="H178" t="s">
        <v>3689</v>
      </c>
      <c r="I178" t="s">
        <v>4001</v>
      </c>
      <c r="J178" t="str" cm="1">
        <f t="array" ref="J178">firstword(C178)</f>
        <v>Nathanael</v>
      </c>
      <c r="K178" t="str" cm="1">
        <f t="array" ref="K178">lastword(C178)</f>
        <v>Greene</v>
      </c>
      <c r="L178" t="str">
        <f t="shared" si="7"/>
        <v>1742</v>
      </c>
      <c r="M178" t="str">
        <f t="shared" si="8"/>
        <v>1786</v>
      </c>
    </row>
    <row r="179" spans="1:13" x14ac:dyDescent="0.3">
      <c r="A179" t="s">
        <v>2821</v>
      </c>
      <c r="B179" t="b">
        <f t="shared" si="6"/>
        <v>1</v>
      </c>
      <c r="C179" t="s">
        <v>2821</v>
      </c>
      <c r="D179" t="s">
        <v>2822</v>
      </c>
      <c r="E179" t="s">
        <v>3690</v>
      </c>
      <c r="F179" t="s">
        <v>3935</v>
      </c>
      <c r="G179" t="s">
        <v>3691</v>
      </c>
      <c r="H179" t="s">
        <v>3935</v>
      </c>
      <c r="I179" t="s">
        <v>3692</v>
      </c>
      <c r="J179" t="str" cm="1">
        <f t="array" ref="J179">firstword(C179)</f>
        <v>Nathaniel</v>
      </c>
      <c r="K179" t="str" cm="1">
        <f t="array" ref="K179">lastword(C179)</f>
        <v>Folsom</v>
      </c>
      <c r="L179" t="str">
        <f t="shared" si="7"/>
        <v>1726</v>
      </c>
      <c r="M179" t="str">
        <f t="shared" si="8"/>
        <v>1790</v>
      </c>
    </row>
    <row r="180" spans="1:13" x14ac:dyDescent="0.3">
      <c r="A180" t="s">
        <v>2823</v>
      </c>
      <c r="B180" t="b">
        <f t="shared" si="6"/>
        <v>1</v>
      </c>
      <c r="C180" t="s">
        <v>2823</v>
      </c>
      <c r="D180" t="s">
        <v>2824</v>
      </c>
      <c r="E180" t="s">
        <v>3693</v>
      </c>
      <c r="F180" t="s">
        <v>3694</v>
      </c>
      <c r="G180" t="s">
        <v>3695</v>
      </c>
      <c r="H180" t="s">
        <v>3694</v>
      </c>
      <c r="I180" t="s">
        <v>3696</v>
      </c>
      <c r="J180" t="str" cm="1">
        <f t="array" ref="J180">firstword(C180)</f>
        <v>Nicholas</v>
      </c>
      <c r="K180" t="str" cm="1">
        <f t="array" ref="K180">lastword(C180)</f>
        <v>Herkimer</v>
      </c>
      <c r="L180" t="str">
        <f t="shared" si="7"/>
        <v>1728</v>
      </c>
      <c r="M180" t="str">
        <f t="shared" si="8"/>
        <v>1777</v>
      </c>
    </row>
    <row r="181" spans="1:13" x14ac:dyDescent="0.3">
      <c r="A181" t="s">
        <v>2825</v>
      </c>
      <c r="B181" t="b">
        <f t="shared" si="6"/>
        <v>1</v>
      </c>
      <c r="C181" t="s">
        <v>2825</v>
      </c>
      <c r="D181" t="s">
        <v>2826</v>
      </c>
      <c r="E181" t="s">
        <v>3697</v>
      </c>
      <c r="F181" t="s">
        <v>3698</v>
      </c>
      <c r="G181" t="s">
        <v>3699</v>
      </c>
      <c r="H181" t="s">
        <v>3700</v>
      </c>
      <c r="I181" t="s">
        <v>3701</v>
      </c>
      <c r="J181" t="str" cm="1">
        <f t="array" ref="J181">firstword(C181)</f>
        <v>Oliver</v>
      </c>
      <c r="K181" t="str" cm="1">
        <f t="array" ref="K181">lastword(C181)</f>
        <v>Lancey</v>
      </c>
      <c r="L181" t="str">
        <f t="shared" si="7"/>
        <v>1718</v>
      </c>
      <c r="M181" t="str">
        <f t="shared" si="8"/>
        <v>1785</v>
      </c>
    </row>
    <row r="182" spans="1:13" x14ac:dyDescent="0.3">
      <c r="A182" t="s">
        <v>2827</v>
      </c>
      <c r="B182" t="b">
        <f t="shared" si="6"/>
        <v>1</v>
      </c>
      <c r="C182" t="s">
        <v>2827</v>
      </c>
      <c r="D182" t="s">
        <v>2828</v>
      </c>
      <c r="E182" t="s">
        <v>3702</v>
      </c>
      <c r="F182" t="s">
        <v>3703</v>
      </c>
      <c r="G182" t="s">
        <v>3704</v>
      </c>
      <c r="H182" t="s">
        <v>3705</v>
      </c>
      <c r="I182" t="s">
        <v>3706</v>
      </c>
      <c r="J182" t="str" cm="1">
        <f t="array" ref="J182">firstword(C182)</f>
        <v>Otho</v>
      </c>
      <c r="K182" t="str" cm="1">
        <f t="array" ref="K182">lastword(C182)</f>
        <v>Williams</v>
      </c>
      <c r="L182" t="str">
        <f t="shared" si="7"/>
        <v>1749</v>
      </c>
      <c r="M182" t="str">
        <f t="shared" si="8"/>
        <v>1794</v>
      </c>
    </row>
    <row r="183" spans="1:13" x14ac:dyDescent="0.3">
      <c r="A183" t="s">
        <v>2829</v>
      </c>
      <c r="B183" t="b">
        <f t="shared" si="6"/>
        <v>1</v>
      </c>
      <c r="C183" t="s">
        <v>2829</v>
      </c>
      <c r="D183" t="s">
        <v>2830</v>
      </c>
      <c r="E183" t="s">
        <v>3707</v>
      </c>
      <c r="F183" t="s">
        <v>3708</v>
      </c>
      <c r="G183" t="s">
        <v>3709</v>
      </c>
      <c r="H183" t="s">
        <v>3710</v>
      </c>
      <c r="I183" t="s">
        <v>4002</v>
      </c>
      <c r="J183" t="str" cm="1">
        <f t="array" ref="J183">firstword(C183)</f>
        <v>Peleg</v>
      </c>
      <c r="K183" t="str" cm="1">
        <f t="array" ref="K183">lastword(C183)</f>
        <v>Wadsworth</v>
      </c>
      <c r="L183" t="str">
        <f t="shared" si="7"/>
        <v>1748</v>
      </c>
      <c r="M183" t="str">
        <f t="shared" si="8"/>
        <v>1829</v>
      </c>
    </row>
    <row r="184" spans="1:13" x14ac:dyDescent="0.3">
      <c r="A184" t="s">
        <v>2831</v>
      </c>
      <c r="B184" t="b">
        <f t="shared" si="6"/>
        <v>1</v>
      </c>
      <c r="C184" t="s">
        <v>2831</v>
      </c>
      <c r="D184" t="s">
        <v>2832</v>
      </c>
      <c r="E184" t="s">
        <v>3711</v>
      </c>
      <c r="F184" t="s">
        <v>3712</v>
      </c>
      <c r="G184" t="s">
        <v>3713</v>
      </c>
      <c r="H184" t="s">
        <v>3511</v>
      </c>
      <c r="I184" t="s">
        <v>3714</v>
      </c>
      <c r="J184" t="str" cm="1">
        <f t="array" ref="J184">firstword(C184)</f>
        <v>Philemon</v>
      </c>
      <c r="K184" t="str" cm="1">
        <f t="array" ref="K184">lastword(C184)</f>
        <v>Dickinson</v>
      </c>
      <c r="L184" t="str">
        <f t="shared" si="7"/>
        <v>1739</v>
      </c>
      <c r="M184" t="str">
        <f t="shared" si="8"/>
        <v>1809</v>
      </c>
    </row>
    <row r="185" spans="1:13" x14ac:dyDescent="0.3">
      <c r="A185" t="s">
        <v>2833</v>
      </c>
      <c r="B185" t="b">
        <f t="shared" si="6"/>
        <v>1</v>
      </c>
      <c r="C185" t="s">
        <v>2833</v>
      </c>
      <c r="D185" t="s">
        <v>2834</v>
      </c>
      <c r="E185" t="s">
        <v>3715</v>
      </c>
      <c r="F185" t="s">
        <v>3717</v>
      </c>
      <c r="G185" t="s">
        <v>3716</v>
      </c>
      <c r="I185" t="s">
        <v>3718</v>
      </c>
      <c r="J185" t="str" cm="1">
        <f t="array" ref="J185">firstword(C185)</f>
        <v>Philip</v>
      </c>
      <c r="K185" t="str" cm="1">
        <f t="array" ref="K185">lastword(C185)</f>
        <v>Coudray</v>
      </c>
      <c r="L185" t="str">
        <f t="shared" si="7"/>
        <v>1738</v>
      </c>
      <c r="M185" t="str">
        <f t="shared" si="8"/>
        <v>1777</v>
      </c>
    </row>
    <row r="186" spans="1:13" x14ac:dyDescent="0.3">
      <c r="A186" t="s">
        <v>2835</v>
      </c>
      <c r="B186" t="b">
        <f t="shared" si="6"/>
        <v>1</v>
      </c>
      <c r="C186" t="s">
        <v>2835</v>
      </c>
      <c r="D186" t="s">
        <v>2836</v>
      </c>
      <c r="E186" t="s">
        <v>3719</v>
      </c>
      <c r="F186" t="s">
        <v>3720</v>
      </c>
      <c r="G186" t="s">
        <v>3721</v>
      </c>
      <c r="H186" t="s">
        <v>3722</v>
      </c>
      <c r="I186" t="s">
        <v>4003</v>
      </c>
      <c r="J186" t="str" cm="1">
        <f t="array" ref="J186">firstword(C186)</f>
        <v>Philip</v>
      </c>
      <c r="K186" t="str" cm="1">
        <f t="array" ref="K186">lastword(C186)</f>
        <v>Schuyler</v>
      </c>
      <c r="L186" t="str">
        <f t="shared" si="7"/>
        <v>1733</v>
      </c>
      <c r="M186" t="str">
        <f t="shared" si="8"/>
        <v>1804</v>
      </c>
    </row>
    <row r="187" spans="1:13" x14ac:dyDescent="0.3">
      <c r="A187" t="s">
        <v>2837</v>
      </c>
      <c r="B187" t="b">
        <f t="shared" si="6"/>
        <v>1</v>
      </c>
      <c r="C187" t="s">
        <v>2837</v>
      </c>
      <c r="D187" t="s">
        <v>2838</v>
      </c>
      <c r="E187" t="s">
        <v>3723</v>
      </c>
      <c r="F187" t="s">
        <v>3724</v>
      </c>
      <c r="G187" t="s">
        <v>3725</v>
      </c>
      <c r="H187" t="s">
        <v>3726</v>
      </c>
      <c r="I187" t="s">
        <v>3727</v>
      </c>
      <c r="J187" t="str" cm="1">
        <f t="array" ref="J187">firstword(C187)</f>
        <v>Philippe</v>
      </c>
      <c r="K187" t="str" cm="1">
        <f t="array" ref="K187">lastword(C187)</f>
        <v>Henri</v>
      </c>
      <c r="L187" t="str">
        <f t="shared" si="7"/>
        <v>1724</v>
      </c>
      <c r="M187" t="str">
        <f t="shared" si="8"/>
        <v>1801</v>
      </c>
    </row>
    <row r="188" spans="1:13" x14ac:dyDescent="0.3">
      <c r="A188" t="s">
        <v>2839</v>
      </c>
      <c r="B188" t="b">
        <f t="shared" si="6"/>
        <v>1</v>
      </c>
      <c r="C188" t="s">
        <v>2839</v>
      </c>
      <c r="D188" t="s">
        <v>2840</v>
      </c>
      <c r="E188" t="s">
        <v>3728</v>
      </c>
      <c r="F188" t="s">
        <v>3729</v>
      </c>
      <c r="G188" t="s">
        <v>3730</v>
      </c>
      <c r="H188" t="s">
        <v>3731</v>
      </c>
      <c r="I188" t="s">
        <v>3732</v>
      </c>
      <c r="J188" t="str" cm="1">
        <f t="array" ref="J188">firstword(C188)</f>
        <v>Philippe</v>
      </c>
      <c r="K188" t="str" cm="1">
        <f t="array" ref="K188">lastword(C188)</f>
        <v>Borre</v>
      </c>
      <c r="L188" t="str">
        <f t="shared" si="7"/>
        <v>1717</v>
      </c>
      <c r="M188" t="str">
        <f t="shared" si="8"/>
        <v>1789</v>
      </c>
    </row>
    <row r="189" spans="1:13" x14ac:dyDescent="0.3">
      <c r="A189" t="s">
        <v>2841</v>
      </c>
      <c r="B189" t="b">
        <f t="shared" si="6"/>
        <v>1</v>
      </c>
      <c r="C189" t="s">
        <v>2841</v>
      </c>
      <c r="D189" t="s">
        <v>2842</v>
      </c>
      <c r="E189" t="s">
        <v>3733</v>
      </c>
      <c r="F189" t="s">
        <v>3734</v>
      </c>
      <c r="G189" t="s">
        <v>3735</v>
      </c>
      <c r="H189" t="s">
        <v>200</v>
      </c>
      <c r="I189" t="s">
        <v>4035</v>
      </c>
      <c r="J189" t="str" cm="1">
        <f t="array" ref="J189">firstword(C189)</f>
        <v>Pierre</v>
      </c>
      <c r="K189" t="str" cm="1">
        <f t="array" ref="K189">lastword(C189)</f>
        <v>Tropez</v>
      </c>
      <c r="L189" t="str">
        <f t="shared" si="7"/>
        <v>1729</v>
      </c>
      <c r="M189" t="str">
        <f t="shared" si="8"/>
        <v>1788</v>
      </c>
    </row>
    <row r="190" spans="1:13" x14ac:dyDescent="0.3">
      <c r="A190" t="s">
        <v>2843</v>
      </c>
      <c r="B190" t="b">
        <f t="shared" si="6"/>
        <v>1</v>
      </c>
      <c r="C190" t="s">
        <v>2843</v>
      </c>
      <c r="D190" t="s">
        <v>2844</v>
      </c>
      <c r="J190" t="str" cm="1">
        <f t="array" ref="J190">firstword(C190)</f>
        <v>Reynier</v>
      </c>
      <c r="K190" t="str" cm="1">
        <f t="array" ref="K190">lastword(C190)</f>
        <v>Vlissingen</v>
      </c>
      <c r="L190" t="str">
        <f t="shared" si="7"/>
        <v/>
      </c>
      <c r="M190" t="str">
        <f t="shared" si="8"/>
        <v/>
      </c>
    </row>
    <row r="191" spans="1:13" x14ac:dyDescent="0.3">
      <c r="A191" t="s">
        <v>2845</v>
      </c>
      <c r="B191" t="b">
        <f t="shared" si="6"/>
        <v>1</v>
      </c>
      <c r="C191" t="s">
        <v>2845</v>
      </c>
      <c r="D191" t="s">
        <v>2846</v>
      </c>
      <c r="E191" t="s">
        <v>3736</v>
      </c>
      <c r="F191" t="s">
        <v>3737</v>
      </c>
      <c r="G191" t="s">
        <v>3738</v>
      </c>
      <c r="H191" t="s">
        <v>3739</v>
      </c>
      <c r="I191" t="s">
        <v>3740</v>
      </c>
      <c r="J191" t="str" cm="1">
        <f t="array" ref="J191">firstword(C191)</f>
        <v>Richard</v>
      </c>
      <c r="K191" t="str" cm="1">
        <f t="array" ref="K191">lastword(C191)</f>
        <v>Caswell</v>
      </c>
      <c r="L191" t="str">
        <f t="shared" si="7"/>
        <v>1729</v>
      </c>
      <c r="M191" t="str">
        <f t="shared" si="8"/>
        <v>1789</v>
      </c>
    </row>
    <row r="192" spans="1:13" x14ac:dyDescent="0.3">
      <c r="A192" t="s">
        <v>2847</v>
      </c>
      <c r="B192" t="b">
        <f t="shared" si="6"/>
        <v>1</v>
      </c>
      <c r="C192" t="s">
        <v>2847</v>
      </c>
      <c r="D192" t="s">
        <v>2848</v>
      </c>
      <c r="E192" t="s">
        <v>3741</v>
      </c>
      <c r="F192" t="s">
        <v>190</v>
      </c>
      <c r="G192" t="s">
        <v>3742</v>
      </c>
      <c r="H192" t="s">
        <v>190</v>
      </c>
      <c r="I192" t="s">
        <v>3743</v>
      </c>
      <c r="J192" t="str" cm="1">
        <f t="array" ref="J192">firstword(C192)</f>
        <v>Richard</v>
      </c>
      <c r="K192" t="str" cm="1">
        <f t="array" ref="K192">lastword(C192)</f>
        <v>Howe</v>
      </c>
      <c r="L192" t="str">
        <f t="shared" si="7"/>
        <v>1726</v>
      </c>
      <c r="M192" t="str">
        <f t="shared" si="8"/>
        <v>1799</v>
      </c>
    </row>
    <row r="193" spans="1:13" x14ac:dyDescent="0.3">
      <c r="A193" t="s">
        <v>2849</v>
      </c>
      <c r="B193" t="b">
        <f t="shared" si="6"/>
        <v>1</v>
      </c>
      <c r="C193" t="s">
        <v>2849</v>
      </c>
      <c r="D193" t="s">
        <v>2850</v>
      </c>
      <c r="E193" t="s">
        <v>3744</v>
      </c>
      <c r="F193" t="s">
        <v>3745</v>
      </c>
      <c r="G193" t="s">
        <v>3746</v>
      </c>
      <c r="H193" t="s">
        <v>3747</v>
      </c>
      <c r="I193" t="s">
        <v>3748</v>
      </c>
      <c r="J193" t="str" cm="1">
        <f t="array" ref="J193">firstword(C193)</f>
        <v>Richard</v>
      </c>
      <c r="K193" t="str" cm="1">
        <f t="array" ref="K193">lastword(C193)</f>
        <v>Montgomery</v>
      </c>
      <c r="L193" t="str">
        <f t="shared" si="7"/>
        <v>1738</v>
      </c>
      <c r="M193" t="str">
        <f t="shared" si="8"/>
        <v>1775</v>
      </c>
    </row>
    <row r="194" spans="1:13" ht="28.8" x14ac:dyDescent="0.3">
      <c r="A194" t="s">
        <v>2851</v>
      </c>
      <c r="B194" t="b">
        <f t="shared" si="6"/>
        <v>1</v>
      </c>
      <c r="C194" t="s">
        <v>2851</v>
      </c>
      <c r="D194" t="s">
        <v>2852</v>
      </c>
      <c r="E194">
        <v>1704</v>
      </c>
      <c r="F194" s="27" t="s">
        <v>3749</v>
      </c>
      <c r="G194">
        <v>1780</v>
      </c>
      <c r="H194" t="s">
        <v>3750</v>
      </c>
      <c r="I194" t="s">
        <v>3751</v>
      </c>
      <c r="J194" t="str" cm="1">
        <f t="array" ref="J194">firstword(C194)</f>
        <v>Richard</v>
      </c>
      <c r="K194" t="str" cm="1">
        <f t="array" ref="K194">lastword(C194)</f>
        <v>Richardson</v>
      </c>
      <c r="L194" t="str">
        <f t="shared" si="7"/>
        <v>1704</v>
      </c>
      <c r="M194" t="str">
        <f t="shared" si="8"/>
        <v>1780</v>
      </c>
    </row>
    <row r="195" spans="1:13" x14ac:dyDescent="0.3">
      <c r="A195" t="s">
        <v>2853</v>
      </c>
      <c r="B195" t="b">
        <f t="shared" ref="B195:B248" si="9">A195=C195</f>
        <v>1</v>
      </c>
      <c r="C195" t="s">
        <v>2853</v>
      </c>
      <c r="D195" t="s">
        <v>2854</v>
      </c>
      <c r="E195">
        <v>1710</v>
      </c>
      <c r="G195" t="s">
        <v>3752</v>
      </c>
      <c r="H195" t="s">
        <v>3753</v>
      </c>
      <c r="I195" t="s">
        <v>3754</v>
      </c>
      <c r="J195" t="str" cm="1">
        <f t="array" ref="J195">firstword(C195)</f>
        <v>Robert</v>
      </c>
      <c r="K195" t="str" cm="1">
        <f t="array" ref="K195">lastword(C195)</f>
        <v>Boyd</v>
      </c>
      <c r="L195" t="str">
        <f t="shared" ref="L195:L248" si="10">RIGHT(E195,4)</f>
        <v>1710</v>
      </c>
      <c r="M195" t="str">
        <f t="shared" ref="M195:M248" si="11">RIGHT(G195,4)</f>
        <v>1794</v>
      </c>
    </row>
    <row r="196" spans="1:13" x14ac:dyDescent="0.3">
      <c r="A196" t="s">
        <v>2855</v>
      </c>
      <c r="B196" t="b">
        <f t="shared" si="9"/>
        <v>1</v>
      </c>
      <c r="C196" t="s">
        <v>2855</v>
      </c>
      <c r="D196" t="s">
        <v>2856</v>
      </c>
      <c r="E196">
        <v>1732</v>
      </c>
      <c r="F196" t="s">
        <v>3755</v>
      </c>
      <c r="G196" t="s">
        <v>3756</v>
      </c>
      <c r="H196" t="s">
        <v>3757</v>
      </c>
      <c r="I196" t="s">
        <v>3758</v>
      </c>
      <c r="J196" t="str" cm="1">
        <f t="array" ref="J196">firstword(C196)</f>
        <v>Robert</v>
      </c>
      <c r="K196" t="str" cm="1">
        <f t="array" ref="K196">lastword(C196)</f>
        <v>Howe</v>
      </c>
      <c r="L196" t="str">
        <f t="shared" si="10"/>
        <v>1732</v>
      </c>
      <c r="M196" t="str">
        <f t="shared" si="11"/>
        <v>1786</v>
      </c>
    </row>
    <row r="197" spans="1:13" x14ac:dyDescent="0.3">
      <c r="A197" t="s">
        <v>2857</v>
      </c>
      <c r="B197" t="b">
        <f t="shared" si="9"/>
        <v>1</v>
      </c>
      <c r="C197" t="s">
        <v>2857</v>
      </c>
      <c r="D197" t="s">
        <v>2858</v>
      </c>
      <c r="E197" t="s">
        <v>3759</v>
      </c>
      <c r="F197" t="s">
        <v>3761</v>
      </c>
      <c r="G197" t="s">
        <v>3760</v>
      </c>
      <c r="I197" t="s">
        <v>3762</v>
      </c>
      <c r="J197" t="str" cm="1">
        <f t="array" ref="J197">firstword(C197)</f>
        <v>Robert</v>
      </c>
      <c r="K197" t="str" cm="1">
        <f t="array" ref="K197">lastword(C197)</f>
        <v>Lawson</v>
      </c>
      <c r="L197" t="str">
        <f t="shared" si="10"/>
        <v>1748</v>
      </c>
      <c r="M197" t="str">
        <f t="shared" si="11"/>
        <v>1805</v>
      </c>
    </row>
    <row r="198" spans="1:13" x14ac:dyDescent="0.3">
      <c r="A198" t="s">
        <v>2859</v>
      </c>
      <c r="B198" t="b">
        <f t="shared" si="9"/>
        <v>1</v>
      </c>
      <c r="C198" t="s">
        <v>2859</v>
      </c>
      <c r="D198" t="s">
        <v>2860</v>
      </c>
      <c r="E198" t="s">
        <v>3763</v>
      </c>
      <c r="F198" t="s">
        <v>3764</v>
      </c>
      <c r="G198" t="s">
        <v>3936</v>
      </c>
      <c r="H198" t="s">
        <v>3099</v>
      </c>
      <c r="I198" t="s">
        <v>4004</v>
      </c>
      <c r="J198" t="str" cm="1">
        <f t="array" ref="J198">firstword(C198)</f>
        <v>Rufus</v>
      </c>
      <c r="K198" t="str" cm="1">
        <f t="array" ref="K198">lastword(C198)</f>
        <v>Putnam</v>
      </c>
      <c r="L198" t="str">
        <f t="shared" si="10"/>
        <v>1738</v>
      </c>
      <c r="M198" t="str">
        <f t="shared" si="11"/>
        <v>1824</v>
      </c>
    </row>
    <row r="199" spans="1:13" x14ac:dyDescent="0.3">
      <c r="A199" t="s">
        <v>2861</v>
      </c>
      <c r="B199" t="b">
        <f t="shared" si="9"/>
        <v>1</v>
      </c>
      <c r="C199" t="s">
        <v>2861</v>
      </c>
      <c r="D199" t="s">
        <v>2862</v>
      </c>
      <c r="E199" t="s">
        <v>3765</v>
      </c>
      <c r="F199" t="s">
        <v>3766</v>
      </c>
      <c r="G199" t="s">
        <v>3767</v>
      </c>
      <c r="H199" t="s">
        <v>3768</v>
      </c>
      <c r="I199" t="s">
        <v>3769</v>
      </c>
      <c r="J199" t="str" cm="1">
        <f t="array" ref="J199">firstword(C199)</f>
        <v>Sampson</v>
      </c>
      <c r="K199" t="str" cm="1">
        <f t="array" ref="K199">lastword(C199)</f>
        <v>Mathews</v>
      </c>
      <c r="L199" t="str">
        <f t="shared" si="10"/>
        <v>1737</v>
      </c>
      <c r="M199" t="str">
        <f t="shared" si="11"/>
        <v>1807</v>
      </c>
    </row>
    <row r="200" spans="1:13" x14ac:dyDescent="0.3">
      <c r="A200" t="s">
        <v>2863</v>
      </c>
      <c r="B200" t="b">
        <f t="shared" si="9"/>
        <v>1</v>
      </c>
      <c r="C200" t="s">
        <v>2863</v>
      </c>
      <c r="D200" t="s">
        <v>2864</v>
      </c>
      <c r="E200">
        <v>1740</v>
      </c>
      <c r="F200" t="s">
        <v>3770</v>
      </c>
      <c r="G200" t="s">
        <v>3771</v>
      </c>
      <c r="I200" t="s">
        <v>3772</v>
      </c>
      <c r="J200" t="str" cm="1">
        <f t="array" ref="J200">firstword(C200)</f>
        <v>Samuel</v>
      </c>
      <c r="K200" t="str" cm="1">
        <f t="array" ref="K200">lastword(C200)</f>
        <v>Elbert</v>
      </c>
      <c r="L200" t="str">
        <f t="shared" si="10"/>
        <v>1740</v>
      </c>
      <c r="M200" t="str">
        <f t="shared" si="11"/>
        <v>1788</v>
      </c>
    </row>
    <row r="201" spans="1:13" x14ac:dyDescent="0.3">
      <c r="A201" t="s">
        <v>2865</v>
      </c>
      <c r="B201" t="b">
        <f t="shared" si="9"/>
        <v>1</v>
      </c>
      <c r="C201" t="s">
        <v>2865</v>
      </c>
      <c r="D201" t="s">
        <v>2866</v>
      </c>
      <c r="E201" t="s">
        <v>3773</v>
      </c>
      <c r="F201" t="s">
        <v>3774</v>
      </c>
      <c r="G201" t="s">
        <v>3775</v>
      </c>
      <c r="H201" t="s">
        <v>3776</v>
      </c>
      <c r="I201" t="s">
        <v>3777</v>
      </c>
      <c r="J201" t="str" cm="1">
        <f t="array" ref="J201">firstword(C201)</f>
        <v>Samuel</v>
      </c>
      <c r="K201" t="str" cm="1">
        <f t="array" ref="K201">lastword(C201)</f>
        <v>Graves</v>
      </c>
      <c r="L201" t="str">
        <f t="shared" si="10"/>
        <v>1713</v>
      </c>
      <c r="M201" t="str">
        <f t="shared" si="11"/>
        <v>1787</v>
      </c>
    </row>
    <row r="202" spans="1:13" x14ac:dyDescent="0.3">
      <c r="A202" t="s">
        <v>2867</v>
      </c>
      <c r="B202" t="b">
        <f t="shared" si="9"/>
        <v>1</v>
      </c>
      <c r="C202" t="s">
        <v>2867</v>
      </c>
      <c r="D202" t="s">
        <v>2868</v>
      </c>
      <c r="E202" t="s">
        <v>3778</v>
      </c>
      <c r="F202" t="s">
        <v>3779</v>
      </c>
      <c r="H202" t="s">
        <v>3780</v>
      </c>
      <c r="I202" t="s">
        <v>4005</v>
      </c>
      <c r="J202" t="str" cm="1">
        <f t="array" ref="J202">firstword(C202)</f>
        <v>Samuel</v>
      </c>
      <c r="K202" t="str" cm="1">
        <f t="array" ref="K202">lastword(C202)</f>
        <v>Parsons</v>
      </c>
      <c r="L202" t="str">
        <f t="shared" si="10"/>
        <v>1737</v>
      </c>
      <c r="M202" t="str">
        <f t="shared" si="11"/>
        <v/>
      </c>
    </row>
    <row r="203" spans="1:13" x14ac:dyDescent="0.3">
      <c r="A203" t="s">
        <v>2869</v>
      </c>
      <c r="B203" t="b">
        <f t="shared" si="9"/>
        <v>1</v>
      </c>
      <c r="C203" t="s">
        <v>2869</v>
      </c>
      <c r="D203" t="s">
        <v>2870</v>
      </c>
      <c r="E203" t="s">
        <v>3781</v>
      </c>
      <c r="F203" t="s">
        <v>3782</v>
      </c>
      <c r="G203" t="s">
        <v>3783</v>
      </c>
      <c r="H203" s="27" t="s">
        <v>190</v>
      </c>
      <c r="I203" t="s">
        <v>4006</v>
      </c>
      <c r="J203" t="str" cm="1">
        <f t="array" ref="J203">firstword(C203)</f>
        <v>Samuel</v>
      </c>
      <c r="K203" t="str" cm="1">
        <f t="array" ref="K203">lastword(C203)</f>
        <v>Hood</v>
      </c>
      <c r="L203" t="str">
        <f t="shared" si="10"/>
        <v>1724</v>
      </c>
      <c r="M203" t="str">
        <f t="shared" si="11"/>
        <v>1816</v>
      </c>
    </row>
    <row r="204" spans="1:13" x14ac:dyDescent="0.3">
      <c r="A204" t="s">
        <v>2871</v>
      </c>
      <c r="B204" t="b">
        <f t="shared" si="9"/>
        <v>1</v>
      </c>
      <c r="C204" t="s">
        <v>2871</v>
      </c>
      <c r="D204" t="s">
        <v>2872</v>
      </c>
      <c r="E204" t="s">
        <v>3784</v>
      </c>
      <c r="G204" t="s">
        <v>3785</v>
      </c>
      <c r="I204" t="s">
        <v>3786</v>
      </c>
      <c r="J204" t="str" cm="1">
        <f t="array" ref="J204">firstword(C204)</f>
        <v>Samuel</v>
      </c>
      <c r="K204" t="str" cm="1">
        <f t="array" ref="K204">lastword(C204)</f>
        <v>McClellan</v>
      </c>
      <c r="L204" t="str">
        <f t="shared" si="10"/>
        <v>730 </v>
      </c>
      <c r="M204" t="str">
        <f t="shared" si="11"/>
        <v>1807</v>
      </c>
    </row>
    <row r="205" spans="1:13" x14ac:dyDescent="0.3">
      <c r="A205" t="s">
        <v>2873</v>
      </c>
      <c r="B205" t="b">
        <f t="shared" si="9"/>
        <v>1</v>
      </c>
      <c r="C205" t="s">
        <v>2873</v>
      </c>
      <c r="D205" t="s">
        <v>2874</v>
      </c>
      <c r="E205">
        <v>1741</v>
      </c>
      <c r="G205" t="s">
        <v>3787</v>
      </c>
      <c r="H205" t="s">
        <v>3788</v>
      </c>
      <c r="I205" t="s">
        <v>3789</v>
      </c>
      <c r="J205" t="str" cm="1">
        <f t="array" ref="J205">firstword(C205)</f>
        <v>Samuel</v>
      </c>
      <c r="K205" t="str" cm="1">
        <f t="array" ref="K205">lastword(C205)</f>
        <v>Meredith</v>
      </c>
      <c r="L205" t="str">
        <f t="shared" si="10"/>
        <v>1741</v>
      </c>
      <c r="M205" t="str">
        <f t="shared" si="11"/>
        <v>1817</v>
      </c>
    </row>
    <row r="206" spans="1:13" x14ac:dyDescent="0.3">
      <c r="A206" t="s">
        <v>2875</v>
      </c>
      <c r="B206" t="b">
        <f t="shared" si="9"/>
        <v>1</v>
      </c>
      <c r="C206" t="s">
        <v>2875</v>
      </c>
      <c r="D206" t="s">
        <v>2876</v>
      </c>
      <c r="E206" t="s">
        <v>3790</v>
      </c>
      <c r="F206" t="s">
        <v>3792</v>
      </c>
      <c r="G206" t="s">
        <v>3791</v>
      </c>
      <c r="H206" t="s">
        <v>3793</v>
      </c>
      <c r="I206" t="s">
        <v>3794</v>
      </c>
      <c r="J206" t="str" cm="1">
        <f t="array" ref="J206">firstword(C206)</f>
        <v>Samuel</v>
      </c>
      <c r="K206" t="str" cm="1">
        <f t="array" ref="K206">lastword(C206)</f>
        <v>Miles</v>
      </c>
      <c r="L206" t="str">
        <f t="shared" si="10"/>
        <v>1740</v>
      </c>
      <c r="M206" t="str">
        <f t="shared" si="11"/>
        <v>1805</v>
      </c>
    </row>
    <row r="207" spans="1:13" x14ac:dyDescent="0.3">
      <c r="A207" t="s">
        <v>2877</v>
      </c>
      <c r="B207" t="b">
        <f t="shared" si="9"/>
        <v>1</v>
      </c>
      <c r="C207" t="s">
        <v>2877</v>
      </c>
      <c r="D207" t="s">
        <v>2878</v>
      </c>
      <c r="E207" t="s">
        <v>3795</v>
      </c>
      <c r="F207" t="s">
        <v>3796</v>
      </c>
      <c r="G207" t="s">
        <v>3797</v>
      </c>
      <c r="H207" t="s">
        <v>3798</v>
      </c>
      <c r="I207" t="s">
        <v>4007</v>
      </c>
      <c r="J207" t="str" cm="1">
        <f t="array" ref="J207">firstword(C207)</f>
        <v>Seth</v>
      </c>
      <c r="K207" t="str" cm="1">
        <f t="array" ref="K207">lastword(C207)</f>
        <v>Warner</v>
      </c>
      <c r="L207" t="str">
        <f t="shared" si="10"/>
        <v>1743</v>
      </c>
      <c r="M207" t="str">
        <f t="shared" si="11"/>
        <v>1784</v>
      </c>
    </row>
    <row r="208" spans="1:13" x14ac:dyDescent="0.3">
      <c r="A208" t="s">
        <v>2879</v>
      </c>
      <c r="B208" t="b">
        <f t="shared" si="9"/>
        <v>1</v>
      </c>
      <c r="C208" t="s">
        <v>2879</v>
      </c>
      <c r="D208" t="s">
        <v>2880</v>
      </c>
      <c r="E208" t="s">
        <v>3799</v>
      </c>
      <c r="F208" t="s">
        <v>3800</v>
      </c>
      <c r="G208" t="s">
        <v>3801</v>
      </c>
      <c r="H208" t="s">
        <v>3802</v>
      </c>
      <c r="I208" t="s">
        <v>3803</v>
      </c>
      <c r="J208" t="str" cm="1">
        <f t="array" ref="J208">firstword(C208)</f>
        <v>Simon</v>
      </c>
      <c r="K208" t="str" cm="1">
        <f t="array" ref="K208">lastword(C208)</f>
        <v>Fraser</v>
      </c>
      <c r="L208" t="str">
        <f t="shared" si="10"/>
        <v>1729</v>
      </c>
      <c r="M208" t="str">
        <f t="shared" si="11"/>
        <v>1777</v>
      </c>
    </row>
    <row r="209" spans="1:13" x14ac:dyDescent="0.3">
      <c r="A209" t="s">
        <v>2881</v>
      </c>
      <c r="B209" t="b">
        <f t="shared" si="9"/>
        <v>1</v>
      </c>
      <c r="C209" t="s">
        <v>2881</v>
      </c>
      <c r="D209" t="s">
        <v>2882</v>
      </c>
      <c r="E209" t="s">
        <v>3804</v>
      </c>
      <c r="F209" t="s">
        <v>3805</v>
      </c>
      <c r="G209" t="s">
        <v>3806</v>
      </c>
      <c r="H209" t="s">
        <v>3807</v>
      </c>
      <c r="I209" t="s">
        <v>4008</v>
      </c>
      <c r="J209" t="str" cm="1">
        <f t="array" ref="J209">firstword(C209)</f>
        <v>Tadeusz</v>
      </c>
      <c r="K209" t="str" cm="1">
        <f t="array" ref="K209">lastword(C209)</f>
        <v>Kościuszko</v>
      </c>
      <c r="L209" t="str">
        <f t="shared" si="10"/>
        <v>1746</v>
      </c>
      <c r="M209" t="str">
        <f t="shared" si="11"/>
        <v>1817</v>
      </c>
    </row>
    <row r="210" spans="1:13" x14ac:dyDescent="0.3">
      <c r="A210" t="s">
        <v>2883</v>
      </c>
      <c r="B210" t="b">
        <f t="shared" si="9"/>
        <v>1</v>
      </c>
      <c r="C210" t="s">
        <v>2883</v>
      </c>
      <c r="D210" t="s">
        <v>2884</v>
      </c>
      <c r="E210">
        <v>1732</v>
      </c>
      <c r="F210" t="s">
        <v>3808</v>
      </c>
      <c r="G210" t="s">
        <v>3809</v>
      </c>
      <c r="H210" t="s">
        <v>3810</v>
      </c>
      <c r="I210" t="s">
        <v>3811</v>
      </c>
      <c r="J210" t="str" cm="1">
        <f t="array" ref="J210">firstword(C210)</f>
        <v>Thomas</v>
      </c>
      <c r="K210" t="str" cm="1">
        <f t="array" ref="K210">lastword(C210)</f>
        <v>Collins</v>
      </c>
      <c r="L210" t="str">
        <f t="shared" si="10"/>
        <v>1732</v>
      </c>
      <c r="M210" t="str">
        <f t="shared" si="11"/>
        <v>1789</v>
      </c>
    </row>
    <row r="211" spans="1:13" x14ac:dyDescent="0.3">
      <c r="A211" t="s">
        <v>2885</v>
      </c>
      <c r="B211" t="b">
        <f t="shared" si="9"/>
        <v>1</v>
      </c>
      <c r="C211" t="s">
        <v>2885</v>
      </c>
      <c r="D211" t="s">
        <v>2886</v>
      </c>
      <c r="E211" t="s">
        <v>3127</v>
      </c>
      <c r="G211" t="s">
        <v>3812</v>
      </c>
      <c r="H211" t="s">
        <v>3813</v>
      </c>
      <c r="I211" t="s">
        <v>4009</v>
      </c>
      <c r="J211" t="str" cm="1">
        <f t="array" ref="J211">firstword(C211)</f>
        <v>Thomas</v>
      </c>
      <c r="K211" t="str" cm="1">
        <f t="array" ref="K211">lastword(C211)</f>
        <v>Conway</v>
      </c>
      <c r="L211" t="str">
        <f t="shared" si="10"/>
        <v>land</v>
      </c>
      <c r="M211" t="str">
        <f t="shared" si="11"/>
        <v>1795</v>
      </c>
    </row>
    <row r="212" spans="1:13" x14ac:dyDescent="0.3">
      <c r="A212" t="s">
        <v>2887</v>
      </c>
      <c r="B212" t="b">
        <f t="shared" si="9"/>
        <v>1</v>
      </c>
      <c r="C212" t="s">
        <v>2887</v>
      </c>
      <c r="D212" t="s">
        <v>2888</v>
      </c>
      <c r="E212">
        <v>1727</v>
      </c>
      <c r="G212" t="s">
        <v>3814</v>
      </c>
      <c r="H212" t="s">
        <v>3815</v>
      </c>
      <c r="I212" t="s">
        <v>4010</v>
      </c>
      <c r="J212" t="str" cm="1">
        <f t="array" ref="J212">firstword(C212)</f>
        <v>Thomas</v>
      </c>
      <c r="K212" t="str" cm="1">
        <f t="array" ref="K212">lastword(C212)</f>
        <v>d'Orves</v>
      </c>
      <c r="L212" t="str">
        <f t="shared" si="10"/>
        <v>1727</v>
      </c>
      <c r="M212" t="str">
        <f t="shared" si="11"/>
        <v>782 </v>
      </c>
    </row>
    <row r="213" spans="1:13" x14ac:dyDescent="0.3">
      <c r="A213" t="s">
        <v>2889</v>
      </c>
      <c r="B213" t="b">
        <f t="shared" si="9"/>
        <v>1</v>
      </c>
      <c r="C213" t="s">
        <v>2889</v>
      </c>
      <c r="D213" t="s">
        <v>2890</v>
      </c>
      <c r="E213">
        <v>1739</v>
      </c>
      <c r="F213" t="s">
        <v>3816</v>
      </c>
      <c r="G213" t="s">
        <v>3817</v>
      </c>
      <c r="H213" t="s">
        <v>3818</v>
      </c>
      <c r="I213" t="s">
        <v>3819</v>
      </c>
      <c r="J213" t="str" cm="1">
        <f t="array" ref="J213">firstword(C213)</f>
        <v>Thomas</v>
      </c>
      <c r="K213" t="str" cm="1">
        <f t="array" ref="K213">lastword(C213)</f>
        <v>Eaton</v>
      </c>
      <c r="L213" t="str">
        <f t="shared" si="10"/>
        <v>1739</v>
      </c>
      <c r="M213" t="str">
        <f t="shared" si="11"/>
        <v>1809</v>
      </c>
    </row>
    <row r="214" spans="1:13" x14ac:dyDescent="0.3">
      <c r="A214" t="s">
        <v>2891</v>
      </c>
      <c r="B214" t="b">
        <f t="shared" si="9"/>
        <v>1</v>
      </c>
      <c r="C214" t="s">
        <v>2891</v>
      </c>
      <c r="D214" t="s">
        <v>2892</v>
      </c>
      <c r="E214" t="s">
        <v>3820</v>
      </c>
      <c r="G214" t="s">
        <v>3821</v>
      </c>
      <c r="H214" t="s">
        <v>3822</v>
      </c>
      <c r="I214" t="s">
        <v>3823</v>
      </c>
      <c r="J214" t="str" cm="1">
        <f t="array" ref="J214">firstword(C214)</f>
        <v>Thomas</v>
      </c>
      <c r="K214" t="str" cm="1">
        <f t="array" ref="K214">lastword(C214)</f>
        <v>Gage</v>
      </c>
      <c r="L214" t="str">
        <f t="shared" si="10"/>
        <v>land</v>
      </c>
      <c r="M214" t="str">
        <f t="shared" si="11"/>
        <v>1787</v>
      </c>
    </row>
    <row r="215" spans="1:13" x14ac:dyDescent="0.3">
      <c r="A215" t="s">
        <v>2893</v>
      </c>
      <c r="B215" t="b">
        <f t="shared" si="9"/>
        <v>1</v>
      </c>
      <c r="C215" t="s">
        <v>2893</v>
      </c>
      <c r="D215" t="s">
        <v>2894</v>
      </c>
      <c r="E215" t="s">
        <v>3824</v>
      </c>
      <c r="F215" t="s">
        <v>3825</v>
      </c>
      <c r="G215" t="s">
        <v>3826</v>
      </c>
      <c r="H215" t="s">
        <v>3776</v>
      </c>
      <c r="I215" t="s">
        <v>4011</v>
      </c>
      <c r="J215" t="str" cm="1">
        <f t="array" ref="J215">firstword(C215)</f>
        <v>Thomas</v>
      </c>
      <c r="K215" t="str" cm="1">
        <f t="array" ref="K215">lastword(C215)</f>
        <v>Graves</v>
      </c>
      <c r="L215" t="str">
        <f t="shared" si="10"/>
        <v>1725</v>
      </c>
      <c r="M215" t="str">
        <f t="shared" si="11"/>
        <v>1802</v>
      </c>
    </row>
    <row r="216" spans="1:13" x14ac:dyDescent="0.3">
      <c r="A216" t="s">
        <v>2895</v>
      </c>
      <c r="B216" t="b">
        <f t="shared" si="9"/>
        <v>1</v>
      </c>
      <c r="C216" t="s">
        <v>2895</v>
      </c>
      <c r="D216" t="s">
        <v>2896</v>
      </c>
      <c r="E216" t="s">
        <v>3827</v>
      </c>
      <c r="F216" t="s">
        <v>3828</v>
      </c>
      <c r="G216" t="s">
        <v>3829</v>
      </c>
      <c r="H216" t="s">
        <v>3830</v>
      </c>
      <c r="I216" t="s">
        <v>4012</v>
      </c>
      <c r="J216" t="str" cm="1">
        <f t="array" ref="J216">firstword(C216)</f>
        <v>Thomas</v>
      </c>
      <c r="K216" t="str" cm="1">
        <f t="array" ref="K216">lastword(C216)</f>
        <v>Johnson</v>
      </c>
      <c r="L216" t="str">
        <f t="shared" si="10"/>
        <v>1732</v>
      </c>
      <c r="M216" t="str">
        <f t="shared" si="11"/>
        <v>1819</v>
      </c>
    </row>
    <row r="217" spans="1:13" x14ac:dyDescent="0.3">
      <c r="A217" t="s">
        <v>2897</v>
      </c>
      <c r="B217" t="b">
        <f t="shared" si="9"/>
        <v>1</v>
      </c>
      <c r="C217" t="s">
        <v>2897</v>
      </c>
      <c r="D217" t="s">
        <v>2898</v>
      </c>
      <c r="E217" t="s">
        <v>3831</v>
      </c>
      <c r="F217" t="s">
        <v>3832</v>
      </c>
      <c r="G217" t="s">
        <v>3833</v>
      </c>
      <c r="H217" t="s">
        <v>3834</v>
      </c>
      <c r="I217" t="s">
        <v>4013</v>
      </c>
      <c r="J217" t="str" cm="1">
        <f t="array" ref="J217">firstword(C217)</f>
        <v>Thomas</v>
      </c>
      <c r="K217" t="str" cm="1">
        <f t="array" ref="K217">lastword(C217)</f>
        <v>Mifflin</v>
      </c>
      <c r="L217" t="str">
        <f t="shared" si="10"/>
        <v>1744</v>
      </c>
      <c r="M217" t="str">
        <f t="shared" si="11"/>
        <v>1800</v>
      </c>
    </row>
    <row r="218" spans="1:13" x14ac:dyDescent="0.3">
      <c r="A218" t="s">
        <v>2899</v>
      </c>
      <c r="B218" t="b">
        <f t="shared" si="9"/>
        <v>1</v>
      </c>
      <c r="C218" t="s">
        <v>2899</v>
      </c>
      <c r="D218" t="s">
        <v>2900</v>
      </c>
      <c r="E218" t="s">
        <v>3835</v>
      </c>
      <c r="F218" t="s">
        <v>3836</v>
      </c>
      <c r="G218" t="s">
        <v>3837</v>
      </c>
      <c r="H218" t="s">
        <v>3838</v>
      </c>
      <c r="I218" t="s">
        <v>3839</v>
      </c>
      <c r="J218" t="str" cm="1">
        <f t="array" ref="J218">firstword(C218)</f>
        <v>Thomas</v>
      </c>
      <c r="K218" t="str" cm="1">
        <f t="array" ref="K218">lastword(C218)</f>
        <v>Person</v>
      </c>
      <c r="L218" t="str">
        <f t="shared" si="10"/>
        <v>1733</v>
      </c>
      <c r="M218" t="str">
        <f t="shared" si="11"/>
        <v>1800</v>
      </c>
    </row>
    <row r="219" spans="1:13" x14ac:dyDescent="0.3">
      <c r="A219" t="s">
        <v>2901</v>
      </c>
      <c r="B219" t="b">
        <f t="shared" si="9"/>
        <v>1</v>
      </c>
      <c r="C219" t="s">
        <v>2901</v>
      </c>
      <c r="D219" t="s">
        <v>2902</v>
      </c>
      <c r="E219" t="s">
        <v>3840</v>
      </c>
      <c r="F219" t="s">
        <v>3127</v>
      </c>
      <c r="G219" t="s">
        <v>3841</v>
      </c>
      <c r="I219" t="s">
        <v>4014</v>
      </c>
      <c r="J219" t="str" cm="1">
        <f t="array" ref="J219">firstword(C219)</f>
        <v>Thomas</v>
      </c>
      <c r="K219" t="str" cm="1">
        <f t="array" ref="K219">lastword(C219)</f>
        <v>Preston</v>
      </c>
      <c r="L219" t="str">
        <f t="shared" si="10"/>
        <v>1722</v>
      </c>
      <c r="M219" t="str">
        <f t="shared" si="11"/>
        <v>1798</v>
      </c>
    </row>
    <row r="220" spans="1:13" x14ac:dyDescent="0.3">
      <c r="A220" t="s">
        <v>2903</v>
      </c>
      <c r="B220" t="b">
        <f t="shared" si="9"/>
        <v>1</v>
      </c>
      <c r="C220" t="s">
        <v>2903</v>
      </c>
      <c r="D220" t="s">
        <v>2904</v>
      </c>
      <c r="E220" t="s">
        <v>3842</v>
      </c>
      <c r="F220" t="s">
        <v>3843</v>
      </c>
      <c r="G220" t="s">
        <v>3844</v>
      </c>
      <c r="H220" t="s">
        <v>3845</v>
      </c>
      <c r="I220" t="s">
        <v>3846</v>
      </c>
      <c r="J220" t="str" cm="1">
        <f t="array" ref="J220">firstword(C220)</f>
        <v>Thomas</v>
      </c>
      <c r="K220" t="str" cm="1">
        <f t="array" ref="K220">lastword(C220)</f>
        <v>Sumter</v>
      </c>
      <c r="L220" t="str">
        <f t="shared" si="10"/>
        <v>1734</v>
      </c>
      <c r="M220" t="str">
        <f t="shared" si="11"/>
        <v>1832</v>
      </c>
    </row>
    <row r="221" spans="1:13" x14ac:dyDescent="0.3">
      <c r="A221" t="s">
        <v>2905</v>
      </c>
      <c r="B221" t="b">
        <f t="shared" si="9"/>
        <v>1</v>
      </c>
      <c r="C221" t="s">
        <v>2905</v>
      </c>
      <c r="D221" t="s">
        <v>2906</v>
      </c>
      <c r="E221">
        <v>1733</v>
      </c>
      <c r="G221">
        <v>1791</v>
      </c>
      <c r="I221" t="s">
        <v>4015</v>
      </c>
      <c r="J221" t="str" cm="1">
        <f t="array" ref="J221">firstword(C221)</f>
        <v>Timothy</v>
      </c>
      <c r="K221" t="str" cm="1">
        <f t="array" ref="K221">lastword(C221)</f>
        <v>Danielson</v>
      </c>
      <c r="L221" t="str">
        <f t="shared" si="10"/>
        <v>1733</v>
      </c>
      <c r="M221" t="str">
        <f t="shared" si="11"/>
        <v>1791</v>
      </c>
    </row>
    <row r="222" spans="1:13" x14ac:dyDescent="0.3">
      <c r="A222" t="s">
        <v>2907</v>
      </c>
      <c r="B222" t="b">
        <f t="shared" si="9"/>
        <v>1</v>
      </c>
      <c r="C222" t="s">
        <v>2907</v>
      </c>
      <c r="D222" t="s">
        <v>2908</v>
      </c>
      <c r="E222" t="s">
        <v>3847</v>
      </c>
      <c r="F222" t="s">
        <v>3848</v>
      </c>
      <c r="G222" t="s">
        <v>3849</v>
      </c>
      <c r="H222" t="s">
        <v>3850</v>
      </c>
      <c r="I222" t="s">
        <v>4016</v>
      </c>
      <c r="J222" t="str" cm="1">
        <f t="array" ref="J222">firstword(C222)</f>
        <v>Toussaint-Guillaume</v>
      </c>
      <c r="K222" t="str" cm="1">
        <f t="array" ref="K222">lastword(C222)</f>
        <v>Motte</v>
      </c>
      <c r="L222" t="str">
        <f t="shared" si="10"/>
        <v>1720</v>
      </c>
      <c r="M222" t="str">
        <f t="shared" si="11"/>
        <v>1791</v>
      </c>
    </row>
    <row r="223" spans="1:13" x14ac:dyDescent="0.3">
      <c r="A223" t="s">
        <v>2909</v>
      </c>
      <c r="B223" t="b">
        <f t="shared" si="9"/>
        <v>1</v>
      </c>
      <c r="C223" t="s">
        <v>2909</v>
      </c>
      <c r="D223" t="s">
        <v>2910</v>
      </c>
      <c r="J223" t="str" cm="1">
        <f t="array" ref="J223">firstword(C223)</f>
        <v>Wilhelm</v>
      </c>
      <c r="K223" t="str" cm="1">
        <f t="array" ref="K223">lastword(C223)</f>
        <v>Gall</v>
      </c>
      <c r="L223" t="str">
        <f t="shared" si="10"/>
        <v/>
      </c>
      <c r="M223" t="str">
        <f t="shared" si="11"/>
        <v/>
      </c>
    </row>
    <row r="224" spans="1:13" x14ac:dyDescent="0.3">
      <c r="A224" t="s">
        <v>2911</v>
      </c>
      <c r="B224" t="b">
        <f t="shared" si="9"/>
        <v>1</v>
      </c>
      <c r="C224" t="s">
        <v>2911</v>
      </c>
      <c r="D224" t="s">
        <v>2912</v>
      </c>
      <c r="E224" t="s">
        <v>3851</v>
      </c>
      <c r="F224" t="s">
        <v>3342</v>
      </c>
      <c r="G224" t="s">
        <v>3852</v>
      </c>
      <c r="H224" t="s">
        <v>3853</v>
      </c>
      <c r="I224" t="s">
        <v>4036</v>
      </c>
      <c r="J224" t="str" cm="1">
        <f t="array" ref="J224">firstword(C224)</f>
        <v>Wilhelm</v>
      </c>
      <c r="K224" t="str" cm="1">
        <f t="array" ref="K224">lastword(C224)</f>
        <v>Knyphausen</v>
      </c>
      <c r="L224" t="str">
        <f t="shared" si="10"/>
        <v>1716</v>
      </c>
      <c r="M224" t="str">
        <f t="shared" si="11"/>
        <v>1800</v>
      </c>
    </row>
    <row r="225" spans="1:13" x14ac:dyDescent="0.3">
      <c r="A225" t="s">
        <v>2913</v>
      </c>
      <c r="B225" t="b">
        <f t="shared" si="9"/>
        <v>1</v>
      </c>
      <c r="C225" t="s">
        <v>2913</v>
      </c>
      <c r="D225" t="s">
        <v>2914</v>
      </c>
      <c r="E225" t="s">
        <v>3854</v>
      </c>
      <c r="F225" t="s">
        <v>3855</v>
      </c>
      <c r="G225" t="s">
        <v>3856</v>
      </c>
      <c r="H225" t="s">
        <v>3722</v>
      </c>
      <c r="I225" t="s">
        <v>4017</v>
      </c>
      <c r="J225" t="str" cm="1">
        <f t="array" ref="J225">firstword(C225)</f>
        <v>William</v>
      </c>
      <c r="K225" t="str" cm="1">
        <f t="array" ref="K225">lastword(C225)</f>
        <v>Alexander</v>
      </c>
      <c r="L225" t="str">
        <f t="shared" si="10"/>
        <v>1726</v>
      </c>
      <c r="M225" t="str">
        <f t="shared" si="11"/>
        <v>1783</v>
      </c>
    </row>
    <row r="226" spans="1:13" x14ac:dyDescent="0.3">
      <c r="A226" t="s">
        <v>2915</v>
      </c>
      <c r="B226" t="b">
        <f t="shared" si="9"/>
        <v>1</v>
      </c>
      <c r="C226" t="s">
        <v>2915</v>
      </c>
      <c r="D226" t="s">
        <v>2916</v>
      </c>
      <c r="E226" t="s">
        <v>3857</v>
      </c>
      <c r="F226" t="s">
        <v>3858</v>
      </c>
      <c r="G226" t="s">
        <v>3859</v>
      </c>
      <c r="H226" t="s">
        <v>3860</v>
      </c>
      <c r="I226" t="s">
        <v>4018</v>
      </c>
      <c r="J226" t="str" cm="1">
        <f t="array" ref="J226">firstword(C226)</f>
        <v>William</v>
      </c>
      <c r="K226" t="str" cm="1">
        <f t="array" ref="K226">lastword(C226)</f>
        <v>Bryan</v>
      </c>
      <c r="L226" t="str">
        <f t="shared" si="10"/>
        <v>1724</v>
      </c>
      <c r="M226" t="str">
        <f t="shared" si="11"/>
        <v>1781</v>
      </c>
    </row>
    <row r="227" spans="1:13" x14ac:dyDescent="0.3">
      <c r="A227" t="s">
        <v>2917</v>
      </c>
      <c r="B227" t="b">
        <f t="shared" si="9"/>
        <v>1</v>
      </c>
      <c r="C227" t="s">
        <v>2917</v>
      </c>
      <c r="D227" t="s">
        <v>2918</v>
      </c>
      <c r="E227" t="s">
        <v>3861</v>
      </c>
      <c r="F227" t="s">
        <v>3862</v>
      </c>
      <c r="G227" t="s">
        <v>3863</v>
      </c>
      <c r="H227" t="s">
        <v>3864</v>
      </c>
      <c r="I227" t="s">
        <v>3865</v>
      </c>
      <c r="J227" t="str" cm="1">
        <f t="array" ref="J227">firstword(C227)</f>
        <v>William</v>
      </c>
      <c r="K227" t="str" cm="1">
        <f t="array" ref="K227">lastword(C227)</f>
        <v>Caswell</v>
      </c>
      <c r="L227" t="str">
        <f t="shared" si="10"/>
        <v>1754</v>
      </c>
      <c r="M227" t="str">
        <f t="shared" si="11"/>
        <v>1785</v>
      </c>
    </row>
    <row r="228" spans="1:13" x14ac:dyDescent="0.3">
      <c r="A228" t="s">
        <v>2919</v>
      </c>
      <c r="B228" t="b">
        <f t="shared" si="9"/>
        <v>1</v>
      </c>
      <c r="C228" t="s">
        <v>2919</v>
      </c>
      <c r="D228" t="s">
        <v>2920</v>
      </c>
      <c r="E228">
        <v>1736</v>
      </c>
      <c r="G228" t="s">
        <v>3866</v>
      </c>
      <c r="I228" t="s">
        <v>3867</v>
      </c>
      <c r="J228" t="str" cm="1">
        <f t="array" ref="J228">firstword(C228)</f>
        <v>William</v>
      </c>
      <c r="K228" t="str" cm="1">
        <f t="array" ref="K228">lastword(C228)</f>
        <v>Dalrymple</v>
      </c>
      <c r="L228" t="str">
        <f t="shared" si="10"/>
        <v>1736</v>
      </c>
      <c r="M228" t="str">
        <f t="shared" si="11"/>
        <v>1807</v>
      </c>
    </row>
    <row r="229" spans="1:13" x14ac:dyDescent="0.3">
      <c r="A229" t="s">
        <v>2921</v>
      </c>
      <c r="B229" t="b">
        <f t="shared" si="9"/>
        <v>1</v>
      </c>
      <c r="C229" t="s">
        <v>2921</v>
      </c>
      <c r="D229" t="s">
        <v>2922</v>
      </c>
      <c r="E229">
        <v>1719</v>
      </c>
      <c r="F229" t="s">
        <v>297</v>
      </c>
      <c r="G229" t="s">
        <v>3868</v>
      </c>
      <c r="I229" t="s">
        <v>3869</v>
      </c>
      <c r="J229" t="str" cm="1">
        <f t="array" ref="J229">firstword(C229)</f>
        <v>William</v>
      </c>
      <c r="K229" t="str" cm="1">
        <f t="array" ref="K229">lastword(C229)</f>
        <v>Erskine</v>
      </c>
      <c r="L229" t="str">
        <f t="shared" si="10"/>
        <v>1719</v>
      </c>
      <c r="M229" t="str">
        <f t="shared" si="11"/>
        <v>1795</v>
      </c>
    </row>
    <row r="230" spans="1:13" x14ac:dyDescent="0.3">
      <c r="A230" t="s">
        <v>2923</v>
      </c>
      <c r="B230" t="b">
        <f t="shared" si="9"/>
        <v>1</v>
      </c>
      <c r="C230" t="s">
        <v>2923</v>
      </c>
      <c r="D230" t="s">
        <v>2924</v>
      </c>
      <c r="E230">
        <v>1727</v>
      </c>
      <c r="G230">
        <v>1804</v>
      </c>
      <c r="I230" t="s">
        <v>3870</v>
      </c>
      <c r="J230" t="str" cm="1">
        <f t="array" ref="J230">firstword(C230)</f>
        <v>William</v>
      </c>
      <c r="K230" t="str" cm="1">
        <f t="array" ref="K230">lastword(C230)</f>
        <v>Fawcett</v>
      </c>
      <c r="L230" t="str">
        <f t="shared" si="10"/>
        <v>1727</v>
      </c>
      <c r="M230" t="str">
        <f t="shared" si="11"/>
        <v>1804</v>
      </c>
    </row>
    <row r="231" spans="1:13" x14ac:dyDescent="0.3">
      <c r="A231" t="s">
        <v>2925</v>
      </c>
      <c r="B231" t="b">
        <f t="shared" si="9"/>
        <v>1</v>
      </c>
      <c r="C231" t="s">
        <v>2925</v>
      </c>
      <c r="D231" t="s">
        <v>2926</v>
      </c>
      <c r="E231" t="s">
        <v>3871</v>
      </c>
      <c r="G231" t="s">
        <v>3872</v>
      </c>
      <c r="H231" t="s">
        <v>3873</v>
      </c>
      <c r="I231" t="s">
        <v>3874</v>
      </c>
      <c r="J231" t="str" cm="1">
        <f t="array" ref="J231">firstword(C231)</f>
        <v>William</v>
      </c>
      <c r="K231" t="str" cm="1">
        <f t="array" ref="K231">lastword(C231)</f>
        <v>Green</v>
      </c>
      <c r="L231" t="str">
        <f t="shared" si="10"/>
        <v>1725</v>
      </c>
      <c r="M231" t="str">
        <f t="shared" si="11"/>
        <v>1811</v>
      </c>
    </row>
    <row r="232" spans="1:13" x14ac:dyDescent="0.3">
      <c r="A232" t="s">
        <v>2927</v>
      </c>
      <c r="B232" t="b">
        <f t="shared" si="9"/>
        <v>1</v>
      </c>
      <c r="C232" t="s">
        <v>2927</v>
      </c>
      <c r="D232" t="s">
        <v>2928</v>
      </c>
      <c r="E232" t="s">
        <v>3875</v>
      </c>
      <c r="G232" t="s">
        <v>3876</v>
      </c>
      <c r="H232" t="s">
        <v>3877</v>
      </c>
      <c r="I232" t="s">
        <v>4019</v>
      </c>
      <c r="J232" t="str" cm="1">
        <f t="array" ref="J232">firstword(C232)</f>
        <v>William</v>
      </c>
      <c r="K232" t="str" cm="1">
        <f t="array" ref="K232">lastword(C232)</f>
        <v>Heath</v>
      </c>
      <c r="L232" t="str">
        <f t="shared" si="10"/>
        <v>1737</v>
      </c>
      <c r="M232" t="str">
        <f t="shared" si="11"/>
        <v>1814</v>
      </c>
    </row>
    <row r="233" spans="1:13" x14ac:dyDescent="0.3">
      <c r="A233" t="s">
        <v>2929</v>
      </c>
      <c r="B233" t="b">
        <f t="shared" si="9"/>
        <v>1</v>
      </c>
      <c r="C233" t="s">
        <v>2929</v>
      </c>
      <c r="D233" t="s">
        <v>2930</v>
      </c>
      <c r="E233" t="s">
        <v>3878</v>
      </c>
      <c r="F233" t="s">
        <v>297</v>
      </c>
      <c r="G233" t="s">
        <v>3879</v>
      </c>
      <c r="H233" t="s">
        <v>3880</v>
      </c>
      <c r="I233" t="s">
        <v>3881</v>
      </c>
      <c r="J233" t="str" cm="1">
        <f t="array" ref="J233">firstword(C233)</f>
        <v>William</v>
      </c>
      <c r="K233" t="str" cm="1">
        <f t="array" ref="K233">lastword(C233)</f>
        <v>Howe</v>
      </c>
      <c r="L233" t="str">
        <f t="shared" si="10"/>
        <v>1729</v>
      </c>
      <c r="M233" t="str">
        <f t="shared" si="11"/>
        <v>1814</v>
      </c>
    </row>
    <row r="234" spans="1:13" x14ac:dyDescent="0.3">
      <c r="A234" t="s">
        <v>2931</v>
      </c>
      <c r="B234" t="b">
        <f t="shared" si="9"/>
        <v>1</v>
      </c>
      <c r="C234" t="s">
        <v>2931</v>
      </c>
      <c r="D234" t="s">
        <v>2932</v>
      </c>
      <c r="E234" t="s">
        <v>3882</v>
      </c>
      <c r="F234" t="s">
        <v>3883</v>
      </c>
      <c r="G234" t="s">
        <v>3884</v>
      </c>
      <c r="H234" t="s">
        <v>3229</v>
      </c>
      <c r="I234" t="s">
        <v>3885</v>
      </c>
      <c r="J234" t="str" cm="1">
        <f t="array" ref="J234">firstword(C234)</f>
        <v>William</v>
      </c>
      <c r="K234" t="str" cm="1">
        <f t="array" ref="K234">lastword(C234)</f>
        <v>Irvine</v>
      </c>
      <c r="L234" t="str">
        <f t="shared" si="10"/>
        <v>1741</v>
      </c>
      <c r="M234" t="str">
        <f t="shared" si="11"/>
        <v>1804</v>
      </c>
    </row>
    <row r="235" spans="1:13" x14ac:dyDescent="0.3">
      <c r="A235" t="s">
        <v>2933</v>
      </c>
      <c r="B235" t="b">
        <f t="shared" si="9"/>
        <v>1</v>
      </c>
      <c r="C235" t="s">
        <v>2933</v>
      </c>
      <c r="D235" t="s">
        <v>2934</v>
      </c>
      <c r="E235">
        <v>1746</v>
      </c>
      <c r="F235" t="s">
        <v>3886</v>
      </c>
      <c r="G235" t="s">
        <v>3887</v>
      </c>
      <c r="H235" t="s">
        <v>3888</v>
      </c>
      <c r="I235" t="s">
        <v>3889</v>
      </c>
      <c r="J235" t="str" cm="1">
        <f t="array" ref="J235">firstword(C235)</f>
        <v>William</v>
      </c>
      <c r="K235" t="str" cm="1">
        <f t="array" ref="K235">lastword(C235)</f>
        <v>Davidson</v>
      </c>
      <c r="L235" t="str">
        <f t="shared" si="10"/>
        <v>1746</v>
      </c>
      <c r="M235" t="str">
        <f t="shared" si="11"/>
        <v>1781</v>
      </c>
    </row>
    <row r="236" spans="1:13" x14ac:dyDescent="0.3">
      <c r="A236" t="s">
        <v>2935</v>
      </c>
      <c r="B236" t="b">
        <f t="shared" si="9"/>
        <v>1</v>
      </c>
      <c r="C236" t="s">
        <v>2935</v>
      </c>
      <c r="D236" t="s">
        <v>2936</v>
      </c>
      <c r="E236" t="s">
        <v>3890</v>
      </c>
      <c r="F236" t="s">
        <v>3891</v>
      </c>
      <c r="G236" t="s">
        <v>3892</v>
      </c>
      <c r="H236" t="s">
        <v>3893</v>
      </c>
      <c r="I236" t="s">
        <v>3894</v>
      </c>
      <c r="J236" t="str" cm="1">
        <f t="array" ref="J236">firstword(C236)</f>
        <v>William</v>
      </c>
      <c r="K236" t="str" cm="1">
        <f t="array" ref="K236">lastword(C236)</f>
        <v>Maxwell</v>
      </c>
      <c r="L236" t="str">
        <f t="shared" si="10"/>
        <v>1733</v>
      </c>
      <c r="M236" t="str">
        <f t="shared" si="11"/>
        <v>1796</v>
      </c>
    </row>
    <row r="237" spans="1:13" x14ac:dyDescent="0.3">
      <c r="A237" t="s">
        <v>2937</v>
      </c>
      <c r="B237" t="b">
        <f t="shared" si="9"/>
        <v>1</v>
      </c>
      <c r="C237" t="s">
        <v>2937</v>
      </c>
      <c r="D237" t="s">
        <v>2938</v>
      </c>
      <c r="E237" t="s">
        <v>3194</v>
      </c>
      <c r="G237" t="s">
        <v>3895</v>
      </c>
      <c r="H237" t="s">
        <v>3813</v>
      </c>
      <c r="I237" t="s">
        <v>3896</v>
      </c>
      <c r="J237" t="str" cm="1">
        <f t="array" ref="J237">firstword(C237)</f>
        <v>William</v>
      </c>
      <c r="K237" t="str" cm="1">
        <f t="array" ref="K237">lastword(C237)</f>
        <v>Medows</v>
      </c>
      <c r="L237" t="str">
        <f t="shared" si="10"/>
        <v>1738</v>
      </c>
      <c r="M237" t="str">
        <f t="shared" si="11"/>
        <v>1813</v>
      </c>
    </row>
    <row r="238" spans="1:13" x14ac:dyDescent="0.3">
      <c r="A238" t="s">
        <v>2939</v>
      </c>
      <c r="B238" t="b">
        <f t="shared" si="9"/>
        <v>1</v>
      </c>
      <c r="C238" t="s">
        <v>2939</v>
      </c>
      <c r="D238" t="s">
        <v>2940</v>
      </c>
      <c r="E238" t="s">
        <v>3897</v>
      </c>
      <c r="F238" t="s">
        <v>3898</v>
      </c>
      <c r="G238" t="s">
        <v>3899</v>
      </c>
      <c r="H238" t="s">
        <v>3256</v>
      </c>
      <c r="I238" t="s">
        <v>4026</v>
      </c>
      <c r="J238" t="str" cm="1">
        <f t="array" ref="J238">firstword(C238)</f>
        <v>William</v>
      </c>
      <c r="K238" t="str" cm="1">
        <f t="array" ref="K238">lastword(C238)</f>
        <v>Moultrie</v>
      </c>
      <c r="L238" t="str">
        <f t="shared" si="10"/>
        <v>1730</v>
      </c>
      <c r="M238" t="str">
        <f t="shared" si="11"/>
        <v>1805</v>
      </c>
    </row>
    <row r="239" spans="1:13" x14ac:dyDescent="0.3">
      <c r="A239" t="s">
        <v>2941</v>
      </c>
      <c r="B239" t="b">
        <f t="shared" si="9"/>
        <v>1</v>
      </c>
      <c r="C239" t="s">
        <v>2941</v>
      </c>
      <c r="D239" t="s">
        <v>2942</v>
      </c>
      <c r="E239" t="s">
        <v>3900</v>
      </c>
      <c r="F239" t="s">
        <v>365</v>
      </c>
      <c r="G239" t="s">
        <v>3901</v>
      </c>
      <c r="H239" t="s">
        <v>3902</v>
      </c>
      <c r="I239" t="s">
        <v>4020</v>
      </c>
      <c r="J239" t="str" cm="1">
        <f t="array" ref="J239">firstword(C239)</f>
        <v>William</v>
      </c>
      <c r="K239" t="str" cm="1">
        <f t="array" ref="K239">lastword(C239)</f>
        <v>Petty</v>
      </c>
      <c r="L239" t="str">
        <f t="shared" si="10"/>
        <v>1737</v>
      </c>
      <c r="M239" t="str">
        <f t="shared" si="11"/>
        <v>1805</v>
      </c>
    </row>
    <row r="240" spans="1:13" x14ac:dyDescent="0.3">
      <c r="A240" t="s">
        <v>2943</v>
      </c>
      <c r="B240" t="b">
        <f t="shared" si="9"/>
        <v>1</v>
      </c>
      <c r="C240" t="s">
        <v>2943</v>
      </c>
      <c r="D240" t="s">
        <v>2944</v>
      </c>
      <c r="E240">
        <v>1731</v>
      </c>
      <c r="F240" t="s">
        <v>297</v>
      </c>
      <c r="G240" t="s">
        <v>3903</v>
      </c>
      <c r="H240" t="s">
        <v>3904</v>
      </c>
      <c r="I240" t="s">
        <v>3905</v>
      </c>
      <c r="J240" t="str" cm="1">
        <f t="array" ref="J240">firstword(C240)</f>
        <v>William</v>
      </c>
      <c r="K240" t="str" cm="1">
        <f t="array" ref="K240">lastword(C240)</f>
        <v>Phillips</v>
      </c>
      <c r="L240" t="str">
        <f t="shared" si="10"/>
        <v>1731</v>
      </c>
      <c r="M240" t="str">
        <f t="shared" si="11"/>
        <v>1781</v>
      </c>
    </row>
    <row r="241" spans="1:13" x14ac:dyDescent="0.3">
      <c r="A241" t="s">
        <v>2945</v>
      </c>
      <c r="B241" t="b">
        <f t="shared" si="9"/>
        <v>1</v>
      </c>
      <c r="C241" t="s">
        <v>2945</v>
      </c>
      <c r="D241" t="s">
        <v>2946</v>
      </c>
      <c r="J241" t="str" cm="1">
        <f t="array" ref="J241">firstword(C241)</f>
        <v>William</v>
      </c>
      <c r="K241" t="str" cm="1">
        <f t="array" ref="K241">lastword(C241)</f>
        <v>Picton</v>
      </c>
      <c r="L241" t="str">
        <f t="shared" si="10"/>
        <v/>
      </c>
      <c r="M241" t="str">
        <f t="shared" si="11"/>
        <v/>
      </c>
    </row>
    <row r="242" spans="1:13" x14ac:dyDescent="0.3">
      <c r="A242" t="s">
        <v>2947</v>
      </c>
      <c r="B242" t="b">
        <f t="shared" si="9"/>
        <v>1</v>
      </c>
      <c r="C242" t="s">
        <v>2947</v>
      </c>
      <c r="D242" t="s">
        <v>2948</v>
      </c>
      <c r="E242" t="s">
        <v>3906</v>
      </c>
      <c r="F242" t="s">
        <v>3907</v>
      </c>
      <c r="G242" t="s">
        <v>3908</v>
      </c>
      <c r="H242" t="s">
        <v>3909</v>
      </c>
      <c r="I242" t="s">
        <v>4021</v>
      </c>
      <c r="J242" t="str" cm="1">
        <f t="array" ref="J242">firstword(C242)</f>
        <v>William</v>
      </c>
      <c r="K242" t="str" cm="1">
        <f t="array" ref="K242">lastword(C242)</f>
        <v>Skinner</v>
      </c>
      <c r="L242" t="str">
        <f t="shared" si="10"/>
        <v>1728</v>
      </c>
      <c r="M242" t="str">
        <f t="shared" si="11"/>
        <v>1798</v>
      </c>
    </row>
    <row r="243" spans="1:13" x14ac:dyDescent="0.3">
      <c r="A243" t="s">
        <v>2949</v>
      </c>
      <c r="B243" t="b">
        <f t="shared" si="9"/>
        <v>1</v>
      </c>
      <c r="C243" t="s">
        <v>2949</v>
      </c>
      <c r="D243" t="s">
        <v>2950</v>
      </c>
      <c r="E243">
        <v>1732</v>
      </c>
      <c r="F243" t="s">
        <v>3473</v>
      </c>
      <c r="G243" t="s">
        <v>3910</v>
      </c>
      <c r="H243" t="s">
        <v>3911</v>
      </c>
      <c r="I243" t="s">
        <v>4022</v>
      </c>
      <c r="J243" t="str" cm="1">
        <f t="array" ref="J243">firstword(C243)</f>
        <v>William</v>
      </c>
      <c r="K243" t="str" cm="1">
        <f t="array" ref="K243">lastword(C243)</f>
        <v>Smallwood</v>
      </c>
      <c r="L243" t="str">
        <f t="shared" si="10"/>
        <v>1732</v>
      </c>
      <c r="M243" t="str">
        <f t="shared" si="11"/>
        <v>1792</v>
      </c>
    </row>
    <row r="244" spans="1:13" x14ac:dyDescent="0.3">
      <c r="A244" t="s">
        <v>2951</v>
      </c>
      <c r="B244" t="b">
        <f t="shared" si="9"/>
        <v>1</v>
      </c>
      <c r="C244" t="s">
        <v>2951</v>
      </c>
      <c r="D244" t="s">
        <v>2952</v>
      </c>
      <c r="E244" t="s">
        <v>3912</v>
      </c>
      <c r="G244" t="s">
        <v>3913</v>
      </c>
      <c r="I244" t="s">
        <v>3914</v>
      </c>
      <c r="J244" t="str" cm="1">
        <f t="array" ref="J244">firstword(C244)</f>
        <v>William</v>
      </c>
      <c r="K244" t="str" cm="1">
        <f t="array" ref="K244">lastword(C244)</f>
        <v>Thompson</v>
      </c>
      <c r="L244" t="str">
        <f t="shared" si="10"/>
        <v>1726</v>
      </c>
      <c r="M244" t="str">
        <f t="shared" si="11"/>
        <v>1781</v>
      </c>
    </row>
    <row r="245" spans="1:13" x14ac:dyDescent="0.3">
      <c r="A245" t="s">
        <v>2953</v>
      </c>
      <c r="B245" t="b">
        <f t="shared" si="9"/>
        <v>1</v>
      </c>
      <c r="C245" t="s">
        <v>2953</v>
      </c>
      <c r="D245" t="s">
        <v>2954</v>
      </c>
      <c r="E245">
        <v>1733</v>
      </c>
      <c r="F245" t="s">
        <v>3915</v>
      </c>
      <c r="G245">
        <v>1816</v>
      </c>
      <c r="H245" t="s">
        <v>3916</v>
      </c>
      <c r="I245" t="s">
        <v>4023</v>
      </c>
      <c r="J245" t="str" cm="1">
        <f t="array" ref="J245">firstword(C245)</f>
        <v>William</v>
      </c>
      <c r="K245" t="str" cm="1">
        <f t="array" ref="K245">lastword(C245)</f>
        <v>West</v>
      </c>
      <c r="L245" t="str">
        <f t="shared" si="10"/>
        <v>1733</v>
      </c>
      <c r="M245" t="str">
        <f t="shared" si="11"/>
        <v>1816</v>
      </c>
    </row>
    <row r="246" spans="1:13" x14ac:dyDescent="0.3">
      <c r="A246" t="s">
        <v>2955</v>
      </c>
      <c r="B246" t="b">
        <f t="shared" si="9"/>
        <v>1</v>
      </c>
      <c r="C246" t="s">
        <v>2955</v>
      </c>
      <c r="D246" t="s">
        <v>2956</v>
      </c>
      <c r="E246" t="s">
        <v>3917</v>
      </c>
      <c r="F246" t="s">
        <v>3918</v>
      </c>
      <c r="G246" t="s">
        <v>3919</v>
      </c>
      <c r="H246" t="s">
        <v>3920</v>
      </c>
      <c r="I246" t="s">
        <v>4037</v>
      </c>
      <c r="J246" t="str" cm="1">
        <f t="array" ref="J246">firstword(C246)</f>
        <v>William</v>
      </c>
      <c r="K246" t="str" cm="1">
        <f t="array" ref="K246">lastword(C246)</f>
        <v>Whipple</v>
      </c>
      <c r="L246" t="str">
        <f t="shared" si="10"/>
        <v>1730</v>
      </c>
      <c r="M246" t="str">
        <f t="shared" si="11"/>
        <v>1785</v>
      </c>
    </row>
    <row r="247" spans="1:13" x14ac:dyDescent="0.3">
      <c r="A247" t="s">
        <v>2957</v>
      </c>
      <c r="B247" t="b">
        <f t="shared" si="9"/>
        <v>1</v>
      </c>
      <c r="C247" t="s">
        <v>2957</v>
      </c>
      <c r="D247" t="s">
        <v>2958</v>
      </c>
      <c r="E247" t="s">
        <v>3921</v>
      </c>
      <c r="F247" t="s">
        <v>3922</v>
      </c>
      <c r="G247" t="s">
        <v>3923</v>
      </c>
      <c r="H247" t="s">
        <v>3924</v>
      </c>
      <c r="I247" t="s">
        <v>4024</v>
      </c>
      <c r="J247" t="str" cm="1">
        <f t="array" ref="J247">firstword(C247)</f>
        <v>William</v>
      </c>
      <c r="K247" t="str" cm="1">
        <f t="array" ref="K247">lastword(C247)</f>
        <v>Barrington</v>
      </c>
      <c r="L247" t="str">
        <f t="shared" si="10"/>
        <v>1717</v>
      </c>
      <c r="M247" t="str">
        <f t="shared" si="11"/>
        <v>1793</v>
      </c>
    </row>
    <row r="248" spans="1:13" x14ac:dyDescent="0.3">
      <c r="A248" t="s">
        <v>2959</v>
      </c>
      <c r="B248" t="b">
        <f t="shared" si="9"/>
        <v>1</v>
      </c>
      <c r="C248" t="s">
        <v>2959</v>
      </c>
      <c r="D248" t="s">
        <v>2960</v>
      </c>
      <c r="E248" t="s">
        <v>3925</v>
      </c>
      <c r="F248" t="s">
        <v>3926</v>
      </c>
      <c r="G248" t="s">
        <v>3927</v>
      </c>
      <c r="H248" t="s">
        <v>3855</v>
      </c>
      <c r="I248" t="s">
        <v>4025</v>
      </c>
      <c r="J248" t="str" cm="1">
        <f t="array" ref="J248">firstword(C248)</f>
        <v>William</v>
      </c>
      <c r="K248" t="str" cm="1">
        <f t="array" ref="K248">lastword(C248)</f>
        <v>Woodford</v>
      </c>
      <c r="L248" t="str">
        <f t="shared" si="10"/>
        <v>1734</v>
      </c>
      <c r="M248" t="str">
        <f t="shared" si="11"/>
        <v>1780</v>
      </c>
    </row>
  </sheetData>
  <conditionalFormatting sqref="B2:B248">
    <cfRule type="cellIs" dxfId="0" priority="1" operator="equal">
      <formula>FALSE</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86E2-034B-410E-AFDC-FD688B1B176B}">
  <sheetPr codeName="Sheet3"/>
  <dimension ref="A1:U307"/>
  <sheetViews>
    <sheetView topLeftCell="A256" zoomScale="160" zoomScaleNormal="160" workbookViewId="0">
      <selection sqref="A1:K307"/>
    </sheetView>
  </sheetViews>
  <sheetFormatPr defaultRowHeight="14.4" x14ac:dyDescent="0.3"/>
  <cols>
    <col min="1" max="1" width="31.5546875" bestFit="1" customWidth="1"/>
    <col min="2" max="2" width="68.109375" customWidth="1"/>
    <col min="3" max="6" width="15.6640625" customWidth="1"/>
    <col min="7" max="9" width="18.6640625" customWidth="1"/>
  </cols>
  <sheetData>
    <row r="1" spans="1:11" ht="15" thickBot="1" x14ac:dyDescent="0.35">
      <c r="A1" t="s">
        <v>4148</v>
      </c>
      <c r="B1" s="29" t="s">
        <v>4149</v>
      </c>
      <c r="C1" s="31">
        <v>1594</v>
      </c>
      <c r="D1" s="31"/>
      <c r="E1" s="31" t="s">
        <v>4762</v>
      </c>
      <c r="F1" s="31"/>
      <c r="G1" s="31" t="s">
        <v>4763</v>
      </c>
      <c r="H1" s="31" t="s">
        <v>4974</v>
      </c>
      <c r="I1" s="31" t="s">
        <v>4975</v>
      </c>
      <c r="J1" t="s">
        <v>4656</v>
      </c>
      <c r="K1" t="s">
        <v>4657</v>
      </c>
    </row>
    <row r="2" spans="1:11" ht="15" thickBot="1" x14ac:dyDescent="0.35">
      <c r="A2" t="s">
        <v>4046</v>
      </c>
      <c r="B2" s="30" t="s">
        <v>4150</v>
      </c>
      <c r="C2" s="32" t="s">
        <v>4764</v>
      </c>
      <c r="D2" s="32" t="s">
        <v>4766</v>
      </c>
      <c r="E2" s="32" t="s">
        <v>4765</v>
      </c>
      <c r="F2" s="32" t="s">
        <v>4767</v>
      </c>
      <c r="G2" s="32" t="s">
        <v>4768</v>
      </c>
      <c r="H2" s="31" t="s">
        <v>4976</v>
      </c>
      <c r="I2" s="31" t="s">
        <v>4977</v>
      </c>
      <c r="J2" t="s">
        <v>4656</v>
      </c>
      <c r="K2" t="s">
        <v>4658</v>
      </c>
    </row>
    <row r="3" spans="1:11" ht="15" thickBot="1" x14ac:dyDescent="0.35">
      <c r="A3" t="s">
        <v>4151</v>
      </c>
      <c r="B3" s="29" t="s">
        <v>4152</v>
      </c>
      <c r="C3" s="31" t="s">
        <v>4769</v>
      </c>
      <c r="D3" s="31" t="s">
        <v>4770</v>
      </c>
      <c r="E3" s="31" t="s">
        <v>4771</v>
      </c>
      <c r="F3" s="31" t="s">
        <v>4772</v>
      </c>
      <c r="G3" s="31" t="s">
        <v>4773</v>
      </c>
      <c r="H3" s="31" t="s">
        <v>4978</v>
      </c>
      <c r="I3" s="31" t="s">
        <v>4979</v>
      </c>
      <c r="J3" t="s">
        <v>4659</v>
      </c>
      <c r="K3" t="s">
        <v>4660</v>
      </c>
    </row>
    <row r="4" spans="1:11" ht="15" thickBot="1" x14ac:dyDescent="0.35">
      <c r="A4" t="s">
        <v>4153</v>
      </c>
      <c r="B4" s="29" t="s">
        <v>4154</v>
      </c>
      <c r="C4" s="31" t="s">
        <v>4774</v>
      </c>
      <c r="D4" s="31" t="s">
        <v>215</v>
      </c>
      <c r="E4" s="31" t="s">
        <v>4775</v>
      </c>
      <c r="F4" s="31" t="s">
        <v>4776</v>
      </c>
      <c r="G4" s="31" t="s">
        <v>4777</v>
      </c>
      <c r="H4" s="31" t="s">
        <v>4980</v>
      </c>
      <c r="I4" s="31" t="s">
        <v>4981</v>
      </c>
      <c r="J4" t="s">
        <v>4659</v>
      </c>
      <c r="K4" t="s">
        <v>4661</v>
      </c>
    </row>
    <row r="5" spans="1:11" ht="15" thickBot="1" x14ac:dyDescent="0.35">
      <c r="A5" t="s">
        <v>4155</v>
      </c>
      <c r="B5" s="29" t="s">
        <v>4156</v>
      </c>
      <c r="C5" s="31"/>
      <c r="D5" s="31" t="s">
        <v>3101</v>
      </c>
      <c r="E5" s="31" t="s">
        <v>4778</v>
      </c>
      <c r="F5" s="31" t="s">
        <v>4779</v>
      </c>
      <c r="G5" s="31" t="s">
        <v>4780</v>
      </c>
      <c r="H5" s="31" t="s">
        <v>4982</v>
      </c>
      <c r="I5" s="31" t="s">
        <v>4983</v>
      </c>
      <c r="J5" t="s">
        <v>4659</v>
      </c>
      <c r="K5" t="s">
        <v>4662</v>
      </c>
    </row>
    <row r="6" spans="1:11" ht="15" thickBot="1" x14ac:dyDescent="0.35">
      <c r="A6" t="s">
        <v>4157</v>
      </c>
      <c r="B6" s="29" t="s">
        <v>4158</v>
      </c>
      <c r="C6" s="31" t="s">
        <v>4781</v>
      </c>
      <c r="D6" s="31" t="s">
        <v>297</v>
      </c>
      <c r="E6" s="31" t="s">
        <v>4782</v>
      </c>
      <c r="F6" s="31" t="s">
        <v>4783</v>
      </c>
      <c r="G6" s="31" t="s">
        <v>4784</v>
      </c>
      <c r="H6" s="31" t="s">
        <v>4984</v>
      </c>
      <c r="I6" s="31" t="s">
        <v>4985</v>
      </c>
      <c r="J6" t="s">
        <v>4652</v>
      </c>
      <c r="K6" t="s">
        <v>4663</v>
      </c>
    </row>
    <row r="7" spans="1:11" ht="15" thickBot="1" x14ac:dyDescent="0.35">
      <c r="A7" t="s">
        <v>4159</v>
      </c>
      <c r="B7" s="29" t="s">
        <v>4160</v>
      </c>
      <c r="C7" s="31">
        <v>1667</v>
      </c>
      <c r="D7" s="31"/>
      <c r="E7" s="31">
        <v>1695</v>
      </c>
      <c r="F7" s="31"/>
      <c r="G7" s="31" t="s">
        <v>4785</v>
      </c>
      <c r="H7" s="31" t="s">
        <v>4986</v>
      </c>
      <c r="I7" s="31" t="s">
        <v>4987</v>
      </c>
      <c r="J7" t="s">
        <v>4652</v>
      </c>
      <c r="K7" t="s">
        <v>4664</v>
      </c>
    </row>
    <row r="8" spans="1:11" ht="15" thickBot="1" x14ac:dyDescent="0.35">
      <c r="A8" t="s">
        <v>2499</v>
      </c>
      <c r="B8" s="29" t="s">
        <v>4161</v>
      </c>
      <c r="C8" s="31" t="s">
        <v>3150</v>
      </c>
      <c r="D8" s="31" t="s">
        <v>4786</v>
      </c>
      <c r="E8" s="31" t="s">
        <v>3152</v>
      </c>
      <c r="F8" s="31" t="s">
        <v>3153</v>
      </c>
      <c r="G8" s="31" t="s">
        <v>4787</v>
      </c>
      <c r="H8" s="31" t="s">
        <v>4988</v>
      </c>
      <c r="I8" s="31" t="s">
        <v>4989</v>
      </c>
      <c r="J8" t="s">
        <v>4665</v>
      </c>
      <c r="K8" t="s">
        <v>4666</v>
      </c>
    </row>
    <row r="9" spans="1:11" ht="15" thickBot="1" x14ac:dyDescent="0.35">
      <c r="A9" t="s">
        <v>4047</v>
      </c>
      <c r="B9" s="30" t="s">
        <v>4162</v>
      </c>
      <c r="C9" s="32"/>
      <c r="D9" s="32" t="s">
        <v>3750</v>
      </c>
      <c r="E9" s="32" t="s">
        <v>4788</v>
      </c>
      <c r="F9" s="32" t="s">
        <v>3750</v>
      </c>
      <c r="G9" s="32" t="s">
        <v>4789</v>
      </c>
      <c r="H9" s="31" t="s">
        <v>4982</v>
      </c>
      <c r="I9" s="31" t="s">
        <v>4990</v>
      </c>
      <c r="J9" t="s">
        <v>4667</v>
      </c>
      <c r="K9" t="s">
        <v>4668</v>
      </c>
    </row>
    <row r="10" spans="1:11" ht="15" thickBot="1" x14ac:dyDescent="0.35">
      <c r="A10" t="s">
        <v>2513</v>
      </c>
      <c r="B10" s="29" t="s">
        <v>4163</v>
      </c>
      <c r="C10" s="31" t="s">
        <v>4790</v>
      </c>
      <c r="D10" s="31" t="s">
        <v>4791</v>
      </c>
      <c r="E10" s="31" t="s">
        <v>4792</v>
      </c>
      <c r="F10" s="31" t="s">
        <v>4793</v>
      </c>
      <c r="G10" s="31" t="s">
        <v>4794</v>
      </c>
      <c r="H10" s="31" t="s">
        <v>4991</v>
      </c>
      <c r="I10" s="31" t="s">
        <v>4992</v>
      </c>
      <c r="J10" t="s">
        <v>4669</v>
      </c>
      <c r="K10" t="s">
        <v>4670</v>
      </c>
    </row>
    <row r="11" spans="1:11" ht="15" thickBot="1" x14ac:dyDescent="0.35">
      <c r="A11" t="s">
        <v>4164</v>
      </c>
      <c r="B11" s="29" t="s">
        <v>4165</v>
      </c>
      <c r="C11" s="31"/>
      <c r="D11" s="31" t="s">
        <v>297</v>
      </c>
      <c r="E11" s="31" t="s">
        <v>4795</v>
      </c>
      <c r="F11" s="31" t="s">
        <v>297</v>
      </c>
      <c r="G11" s="31" t="s">
        <v>4796</v>
      </c>
      <c r="H11" s="31" t="s">
        <v>4982</v>
      </c>
      <c r="I11" s="31" t="s">
        <v>4993</v>
      </c>
      <c r="J11" t="s">
        <v>4669</v>
      </c>
      <c r="K11" t="s">
        <v>4671</v>
      </c>
    </row>
    <row r="12" spans="1:11" ht="15" thickBot="1" x14ac:dyDescent="0.35">
      <c r="A12" t="s">
        <v>4166</v>
      </c>
      <c r="B12" s="29" t="s">
        <v>4167</v>
      </c>
      <c r="C12" s="31" t="s">
        <v>4797</v>
      </c>
      <c r="D12" s="31" t="s">
        <v>4798</v>
      </c>
      <c r="E12" s="31" t="s">
        <v>4799</v>
      </c>
      <c r="F12" s="31"/>
      <c r="G12" s="31" t="s">
        <v>4800</v>
      </c>
      <c r="H12" s="31" t="s">
        <v>4994</v>
      </c>
      <c r="I12" s="31" t="s">
        <v>4995</v>
      </c>
      <c r="J12" t="s">
        <v>4672</v>
      </c>
      <c r="K12" t="s">
        <v>4671</v>
      </c>
    </row>
    <row r="13" spans="1:11" ht="15" thickBot="1" x14ac:dyDescent="0.35">
      <c r="A13" t="s">
        <v>4168</v>
      </c>
      <c r="B13" s="29" t="s">
        <v>4169</v>
      </c>
      <c r="C13" s="31" t="s">
        <v>4801</v>
      </c>
      <c r="D13" s="31" t="s">
        <v>190</v>
      </c>
      <c r="E13" s="31" t="s">
        <v>4802</v>
      </c>
      <c r="F13" s="31" t="s">
        <v>4803</v>
      </c>
      <c r="G13" s="31" t="s">
        <v>4804</v>
      </c>
      <c r="H13" s="31" t="s">
        <v>4996</v>
      </c>
      <c r="I13" s="31" t="s">
        <v>4983</v>
      </c>
      <c r="J13" t="s">
        <v>4673</v>
      </c>
      <c r="K13" t="s">
        <v>4674</v>
      </c>
    </row>
    <row r="14" spans="1:11" ht="15" thickBot="1" x14ac:dyDescent="0.35">
      <c r="A14" t="s">
        <v>4170</v>
      </c>
      <c r="B14" s="29" t="s">
        <v>4171</v>
      </c>
      <c r="C14" s="31" t="s">
        <v>4805</v>
      </c>
      <c r="D14" s="31" t="s">
        <v>4806</v>
      </c>
      <c r="E14" s="31" t="s">
        <v>4807</v>
      </c>
      <c r="F14" s="31" t="s">
        <v>4808</v>
      </c>
      <c r="G14" s="31" t="s">
        <v>4809</v>
      </c>
      <c r="H14" s="31" t="s">
        <v>4997</v>
      </c>
      <c r="I14" s="31" t="s">
        <v>4998</v>
      </c>
      <c r="J14" t="s">
        <v>4673</v>
      </c>
      <c r="K14" t="s">
        <v>4675</v>
      </c>
    </row>
    <row r="15" spans="1:11" ht="15" thickBot="1" x14ac:dyDescent="0.35">
      <c r="A15" t="s">
        <v>4172</v>
      </c>
      <c r="B15" s="29" t="s">
        <v>4173</v>
      </c>
      <c r="C15" s="31" t="s">
        <v>4810</v>
      </c>
      <c r="D15" s="31" t="s">
        <v>4811</v>
      </c>
      <c r="E15" s="31" t="s">
        <v>4812</v>
      </c>
      <c r="F15" s="31" t="s">
        <v>4811</v>
      </c>
      <c r="G15" s="31" t="s">
        <v>4813</v>
      </c>
      <c r="H15" s="31" t="s">
        <v>4999</v>
      </c>
      <c r="I15" s="31" t="s">
        <v>5000</v>
      </c>
      <c r="J15" t="s">
        <v>4676</v>
      </c>
      <c r="K15" t="s">
        <v>4677</v>
      </c>
    </row>
    <row r="16" spans="1:11" ht="15" thickBot="1" x14ac:dyDescent="0.35">
      <c r="A16" t="s">
        <v>4048</v>
      </c>
      <c r="B16" s="30" t="s">
        <v>4174</v>
      </c>
      <c r="C16" s="32" t="s">
        <v>4814</v>
      </c>
      <c r="D16" s="32" t="s">
        <v>4815</v>
      </c>
      <c r="E16" s="32" t="s">
        <v>4816</v>
      </c>
      <c r="F16" s="32" t="s">
        <v>4817</v>
      </c>
      <c r="G16" s="32" t="s">
        <v>4818</v>
      </c>
      <c r="H16" s="31" t="s">
        <v>5001</v>
      </c>
      <c r="I16" s="31" t="s">
        <v>5002</v>
      </c>
      <c r="J16" t="s">
        <v>4678</v>
      </c>
      <c r="K16" t="s">
        <v>4679</v>
      </c>
    </row>
    <row r="17" spans="1:11" ht="15" thickBot="1" x14ac:dyDescent="0.35">
      <c r="A17" t="s">
        <v>4175</v>
      </c>
      <c r="B17" s="29" t="s">
        <v>4176</v>
      </c>
      <c r="C17" s="31" t="s">
        <v>4819</v>
      </c>
      <c r="D17" s="31" t="s">
        <v>3127</v>
      </c>
      <c r="E17" s="31" t="s">
        <v>4820</v>
      </c>
      <c r="F17" s="31" t="s">
        <v>254</v>
      </c>
      <c r="G17" s="31" t="s">
        <v>4821</v>
      </c>
      <c r="H17" s="31" t="s">
        <v>5003</v>
      </c>
      <c r="I17" s="31" t="s">
        <v>5004</v>
      </c>
      <c r="J17" t="s">
        <v>4680</v>
      </c>
      <c r="K17" t="s">
        <v>4681</v>
      </c>
    </row>
    <row r="18" spans="1:11" ht="15" thickBot="1" x14ac:dyDescent="0.35">
      <c r="A18" t="s">
        <v>4177</v>
      </c>
      <c r="B18" s="29" t="s">
        <v>4178</v>
      </c>
      <c r="C18" s="31" t="s">
        <v>4822</v>
      </c>
      <c r="D18" s="31" t="s">
        <v>190</v>
      </c>
      <c r="E18" s="31" t="s">
        <v>4823</v>
      </c>
      <c r="F18" s="31" t="s">
        <v>4793</v>
      </c>
      <c r="G18" s="31" t="s">
        <v>4824</v>
      </c>
      <c r="H18" s="31" t="s">
        <v>5005</v>
      </c>
      <c r="I18" s="31" t="s">
        <v>4987</v>
      </c>
      <c r="J18" t="s">
        <v>4682</v>
      </c>
      <c r="K18" t="s">
        <v>4683</v>
      </c>
    </row>
    <row r="19" spans="1:11" ht="15" thickBot="1" x14ac:dyDescent="0.35">
      <c r="A19" t="s">
        <v>4179</v>
      </c>
      <c r="B19" s="29" t="s">
        <v>4180</v>
      </c>
      <c r="C19" s="31">
        <v>1688</v>
      </c>
      <c r="D19" s="31" t="s">
        <v>297</v>
      </c>
      <c r="E19" s="31" t="s">
        <v>4825</v>
      </c>
      <c r="F19" s="31" t="s">
        <v>4826</v>
      </c>
      <c r="G19" s="31" t="s">
        <v>4827</v>
      </c>
      <c r="H19" s="31" t="s">
        <v>5003</v>
      </c>
      <c r="I19" s="31" t="s">
        <v>5006</v>
      </c>
      <c r="J19" t="s">
        <v>4684</v>
      </c>
      <c r="K19" t="s">
        <v>4671</v>
      </c>
    </row>
    <row r="20" spans="1:11" ht="15" thickBot="1" x14ac:dyDescent="0.35">
      <c r="A20" t="s">
        <v>4179</v>
      </c>
      <c r="B20" s="29" t="s">
        <v>4181</v>
      </c>
      <c r="C20" s="31" t="s">
        <v>4828</v>
      </c>
      <c r="D20" s="31" t="s">
        <v>4829</v>
      </c>
      <c r="E20" s="31" t="s">
        <v>4830</v>
      </c>
      <c r="F20" s="31" t="s">
        <v>4831</v>
      </c>
      <c r="G20" s="31" t="s">
        <v>4832</v>
      </c>
      <c r="H20" s="31" t="s">
        <v>5007</v>
      </c>
      <c r="I20" s="31" t="s">
        <v>4993</v>
      </c>
      <c r="J20" t="s">
        <v>4684</v>
      </c>
      <c r="K20" t="s">
        <v>4671</v>
      </c>
    </row>
    <row r="21" spans="1:11" ht="15" thickBot="1" x14ac:dyDescent="0.35">
      <c r="A21" t="s">
        <v>4179</v>
      </c>
      <c r="B21" s="29" t="s">
        <v>4182</v>
      </c>
      <c r="C21" s="31" t="s">
        <v>4833</v>
      </c>
      <c r="D21" s="31" t="s">
        <v>297</v>
      </c>
      <c r="E21" s="31" t="s">
        <v>4834</v>
      </c>
      <c r="F21" s="31" t="s">
        <v>297</v>
      </c>
      <c r="G21" s="31" t="s">
        <v>4835</v>
      </c>
      <c r="H21" s="31" t="s">
        <v>5008</v>
      </c>
      <c r="I21" s="31" t="s">
        <v>5009</v>
      </c>
      <c r="J21" t="s">
        <v>4684</v>
      </c>
      <c r="K21" t="s">
        <v>4671</v>
      </c>
    </row>
    <row r="22" spans="1:11" ht="15" thickBot="1" x14ac:dyDescent="0.35">
      <c r="A22" t="s">
        <v>4049</v>
      </c>
      <c r="B22" s="30" t="s">
        <v>4183</v>
      </c>
      <c r="C22" s="32">
        <v>1682</v>
      </c>
      <c r="D22" s="32" t="s">
        <v>297</v>
      </c>
      <c r="E22" s="32" t="s">
        <v>4836</v>
      </c>
      <c r="F22" s="32" t="s">
        <v>4837</v>
      </c>
      <c r="G22" s="32" t="s">
        <v>4838</v>
      </c>
      <c r="H22" s="31" t="s">
        <v>5010</v>
      </c>
      <c r="I22" s="31" t="s">
        <v>5011</v>
      </c>
      <c r="J22" t="s">
        <v>4684</v>
      </c>
      <c r="K22" t="s">
        <v>4685</v>
      </c>
    </row>
    <row r="23" spans="1:11" ht="15" thickBot="1" x14ac:dyDescent="0.35">
      <c r="A23" t="s">
        <v>4184</v>
      </c>
      <c r="B23" s="29" t="s">
        <v>4185</v>
      </c>
      <c r="C23" s="31" t="s">
        <v>4839</v>
      </c>
      <c r="D23" s="31"/>
      <c r="E23" s="31" t="s">
        <v>4840</v>
      </c>
      <c r="F23" s="31"/>
      <c r="G23" s="31" t="s">
        <v>4841</v>
      </c>
      <c r="H23" s="31" t="s">
        <v>5012</v>
      </c>
      <c r="I23" s="31" t="s">
        <v>4985</v>
      </c>
      <c r="J23" t="s">
        <v>4684</v>
      </c>
      <c r="K23" t="s">
        <v>4686</v>
      </c>
    </row>
    <row r="24" spans="1:11" ht="15" thickBot="1" x14ac:dyDescent="0.35">
      <c r="A24" t="s">
        <v>4186</v>
      </c>
      <c r="B24" s="29" t="s">
        <v>4187</v>
      </c>
      <c r="C24" s="31" t="s">
        <v>4842</v>
      </c>
      <c r="D24" s="31"/>
      <c r="E24" s="31" t="s">
        <v>4843</v>
      </c>
      <c r="F24" s="31"/>
      <c r="G24" s="31" t="s">
        <v>4844</v>
      </c>
      <c r="H24" s="31" t="s">
        <v>5013</v>
      </c>
      <c r="I24" s="31" t="s">
        <v>5014</v>
      </c>
      <c r="J24" t="s">
        <v>4684</v>
      </c>
      <c r="K24" t="s">
        <v>4687</v>
      </c>
    </row>
    <row r="25" spans="1:11" ht="15" thickBot="1" x14ac:dyDescent="0.35">
      <c r="A25" t="s">
        <v>4188</v>
      </c>
      <c r="B25" s="29" t="s">
        <v>4189</v>
      </c>
      <c r="C25" s="31" t="s">
        <v>4846</v>
      </c>
      <c r="D25" s="31" t="s">
        <v>4845</v>
      </c>
      <c r="E25" s="31"/>
      <c r="F25" s="31"/>
      <c r="G25" s="31" t="s">
        <v>4847</v>
      </c>
      <c r="H25" s="31" t="s">
        <v>5015</v>
      </c>
      <c r="I25" s="31" t="s">
        <v>4982</v>
      </c>
      <c r="J25" t="s">
        <v>4688</v>
      </c>
      <c r="K25" t="s">
        <v>4689</v>
      </c>
    </row>
    <row r="26" spans="1:11" ht="15" thickBot="1" x14ac:dyDescent="0.35">
      <c r="A26" t="s">
        <v>4051</v>
      </c>
      <c r="B26" s="29" t="s">
        <v>4125</v>
      </c>
      <c r="C26" s="31" t="s">
        <v>4848</v>
      </c>
      <c r="D26" s="31" t="s">
        <v>297</v>
      </c>
      <c r="E26" s="31" t="s">
        <v>4849</v>
      </c>
      <c r="F26" s="31" t="s">
        <v>190</v>
      </c>
      <c r="G26" s="31" t="s">
        <v>4850</v>
      </c>
      <c r="H26" s="31" t="s">
        <v>4996</v>
      </c>
      <c r="I26" s="31" t="s">
        <v>5016</v>
      </c>
      <c r="J26" t="s">
        <v>4690</v>
      </c>
      <c r="K26" t="s">
        <v>4691</v>
      </c>
    </row>
    <row r="27" spans="1:11" ht="15" thickBot="1" x14ac:dyDescent="0.35">
      <c r="A27" t="s">
        <v>4052</v>
      </c>
      <c r="B27" s="29" t="s">
        <v>4126</v>
      </c>
      <c r="C27" s="31" t="s">
        <v>4851</v>
      </c>
      <c r="D27" s="31" t="s">
        <v>190</v>
      </c>
      <c r="E27" s="31" t="s">
        <v>4852</v>
      </c>
      <c r="F27" s="31" t="s">
        <v>190</v>
      </c>
      <c r="G27" s="31" t="s">
        <v>4853</v>
      </c>
      <c r="H27" s="31" t="s">
        <v>5007</v>
      </c>
      <c r="I27" s="31" t="s">
        <v>5013</v>
      </c>
      <c r="J27" t="s">
        <v>4692</v>
      </c>
      <c r="K27" t="s">
        <v>4693</v>
      </c>
    </row>
    <row r="28" spans="1:11" ht="15" thickBot="1" x14ac:dyDescent="0.35">
      <c r="A28" t="s">
        <v>4053</v>
      </c>
      <c r="B28" s="30" t="s">
        <v>4190</v>
      </c>
      <c r="C28" s="32">
        <v>1659</v>
      </c>
      <c r="D28" s="32"/>
      <c r="E28" s="32" t="s">
        <v>4854</v>
      </c>
      <c r="F28" s="32" t="s">
        <v>4855</v>
      </c>
      <c r="G28" s="32" t="s">
        <v>4856</v>
      </c>
      <c r="H28" s="31" t="s">
        <v>5017</v>
      </c>
      <c r="I28" s="31" t="s">
        <v>5018</v>
      </c>
      <c r="J28" t="s">
        <v>4692</v>
      </c>
      <c r="K28" t="s">
        <v>4694</v>
      </c>
    </row>
    <row r="29" spans="1:11" ht="15" thickBot="1" x14ac:dyDescent="0.35">
      <c r="A29" t="s">
        <v>4054</v>
      </c>
      <c r="B29" s="30" t="s">
        <v>4127</v>
      </c>
      <c r="E29" s="32" t="s">
        <v>4857</v>
      </c>
      <c r="F29" s="32" t="s">
        <v>297</v>
      </c>
      <c r="G29" s="32" t="s">
        <v>4858</v>
      </c>
      <c r="H29" s="31" t="s">
        <v>4982</v>
      </c>
      <c r="I29" s="31" t="s">
        <v>5019</v>
      </c>
      <c r="J29" t="s">
        <v>4695</v>
      </c>
      <c r="K29" t="s">
        <v>4696</v>
      </c>
    </row>
    <row r="30" spans="1:11" ht="15" thickBot="1" x14ac:dyDescent="0.35">
      <c r="A30" t="s">
        <v>4191</v>
      </c>
      <c r="B30" s="29" t="s">
        <v>4192</v>
      </c>
      <c r="C30" s="31">
        <v>1680</v>
      </c>
      <c r="D30" s="31"/>
      <c r="E30" s="31">
        <v>1696</v>
      </c>
      <c r="F30" s="31"/>
      <c r="G30" s="31" t="s">
        <v>4859</v>
      </c>
      <c r="H30" s="31" t="s">
        <v>5020</v>
      </c>
      <c r="I30" s="31" t="s">
        <v>4999</v>
      </c>
      <c r="J30" t="s">
        <v>4695</v>
      </c>
      <c r="K30" t="s">
        <v>4697</v>
      </c>
    </row>
    <row r="31" spans="1:11" ht="15" thickBot="1" x14ac:dyDescent="0.35">
      <c r="A31" t="s">
        <v>4055</v>
      </c>
      <c r="B31" s="30" t="s">
        <v>4193</v>
      </c>
      <c r="C31" s="32" t="s">
        <v>4860</v>
      </c>
      <c r="D31" s="32" t="s">
        <v>4861</v>
      </c>
      <c r="E31" s="32" t="s">
        <v>4973</v>
      </c>
      <c r="F31" s="32" t="s">
        <v>4862</v>
      </c>
      <c r="G31" s="32" t="s">
        <v>4863</v>
      </c>
      <c r="H31" s="31" t="s">
        <v>5021</v>
      </c>
      <c r="I31" s="31" t="s">
        <v>5022</v>
      </c>
      <c r="J31" t="s">
        <v>4695</v>
      </c>
      <c r="K31" t="s">
        <v>4698</v>
      </c>
    </row>
    <row r="32" spans="1:11" ht="15" thickBot="1" x14ac:dyDescent="0.35">
      <c r="A32" t="s">
        <v>4194</v>
      </c>
      <c r="B32" s="29" t="s">
        <v>4195</v>
      </c>
      <c r="C32" s="31" t="s">
        <v>4864</v>
      </c>
      <c r="D32" s="31" t="s">
        <v>4865</v>
      </c>
      <c r="E32" s="31" t="s">
        <v>4866</v>
      </c>
      <c r="F32" s="31" t="s">
        <v>4867</v>
      </c>
      <c r="G32" s="31" t="s">
        <v>4868</v>
      </c>
      <c r="H32" s="31" t="s">
        <v>5023</v>
      </c>
      <c r="I32" s="31" t="s">
        <v>5024</v>
      </c>
      <c r="J32" t="s">
        <v>4695</v>
      </c>
      <c r="K32" t="s">
        <v>4699</v>
      </c>
    </row>
    <row r="33" spans="1:11" ht="15" thickBot="1" x14ac:dyDescent="0.35">
      <c r="A33" t="s">
        <v>4196</v>
      </c>
      <c r="B33" s="29" t="s">
        <v>4197</v>
      </c>
      <c r="C33" s="31">
        <v>1600</v>
      </c>
      <c r="D33" s="31" t="s">
        <v>4869</v>
      </c>
      <c r="E33" s="31" t="s">
        <v>4870</v>
      </c>
      <c r="F33" s="31" t="s">
        <v>3153</v>
      </c>
      <c r="G33" s="31" t="s">
        <v>4871</v>
      </c>
      <c r="H33" s="31" t="s">
        <v>5015</v>
      </c>
      <c r="I33" s="31" t="s">
        <v>5025</v>
      </c>
      <c r="J33" t="s">
        <v>4695</v>
      </c>
      <c r="K33" t="s">
        <v>4700</v>
      </c>
    </row>
    <row r="34" spans="1:11" ht="15" thickBot="1" x14ac:dyDescent="0.35">
      <c r="A34" t="s">
        <v>4198</v>
      </c>
      <c r="B34" s="29" t="s">
        <v>4199</v>
      </c>
      <c r="C34" s="31" t="s">
        <v>4872</v>
      </c>
      <c r="D34" s="31" t="s">
        <v>297</v>
      </c>
      <c r="E34" s="31" t="s">
        <v>4873</v>
      </c>
      <c r="F34" s="31" t="s">
        <v>4874</v>
      </c>
      <c r="G34" s="31" t="s">
        <v>4875</v>
      </c>
      <c r="H34" s="31" t="s">
        <v>5026</v>
      </c>
      <c r="I34" s="31" t="s">
        <v>4985</v>
      </c>
      <c r="J34" t="s">
        <v>4695</v>
      </c>
      <c r="K34" t="s">
        <v>4701</v>
      </c>
    </row>
    <row r="35" spans="1:11" ht="15" thickBot="1" x14ac:dyDescent="0.35">
      <c r="A35" t="s">
        <v>4200</v>
      </c>
      <c r="B35" s="29" t="s">
        <v>4201</v>
      </c>
      <c r="C35" s="31" t="s">
        <v>4876</v>
      </c>
      <c r="D35" s="31" t="s">
        <v>4877</v>
      </c>
      <c r="E35" s="31" t="s">
        <v>4878</v>
      </c>
      <c r="F35" s="31"/>
      <c r="G35" s="31" t="s">
        <v>4879</v>
      </c>
      <c r="H35" s="31" t="s">
        <v>5027</v>
      </c>
      <c r="I35" s="31" t="s">
        <v>5028</v>
      </c>
      <c r="J35" t="s">
        <v>4695</v>
      </c>
      <c r="K35" t="s">
        <v>4702</v>
      </c>
    </row>
    <row r="36" spans="1:11" ht="15" thickBot="1" x14ac:dyDescent="0.35">
      <c r="A36" t="s">
        <v>4202</v>
      </c>
      <c r="B36" s="29" t="s">
        <v>4203</v>
      </c>
      <c r="C36" s="31">
        <v>1550</v>
      </c>
      <c r="D36" s="31" t="s">
        <v>4880</v>
      </c>
      <c r="E36" s="31">
        <v>1631</v>
      </c>
      <c r="F36" s="31" t="s">
        <v>4881</v>
      </c>
      <c r="G36" s="31" t="s">
        <v>4882</v>
      </c>
      <c r="H36" s="31" t="s">
        <v>5029</v>
      </c>
      <c r="I36" s="31" t="s">
        <v>5030</v>
      </c>
      <c r="J36" t="s">
        <v>4703</v>
      </c>
      <c r="K36" t="s">
        <v>4704</v>
      </c>
    </row>
    <row r="37" spans="1:11" ht="15" thickBot="1" x14ac:dyDescent="0.35">
      <c r="A37" t="s">
        <v>4056</v>
      </c>
      <c r="B37" s="30" t="s">
        <v>4204</v>
      </c>
      <c r="C37" s="32">
        <v>1657</v>
      </c>
      <c r="D37" s="32"/>
      <c r="E37" s="32" t="s">
        <v>4883</v>
      </c>
      <c r="F37" s="32"/>
      <c r="G37" s="32" t="s">
        <v>4884</v>
      </c>
      <c r="H37" s="31" t="s">
        <v>5025</v>
      </c>
      <c r="I37" s="31" t="s">
        <v>5031</v>
      </c>
      <c r="J37" t="s">
        <v>4695</v>
      </c>
      <c r="K37" t="s">
        <v>4705</v>
      </c>
    </row>
    <row r="38" spans="1:11" ht="15" thickBot="1" x14ac:dyDescent="0.35">
      <c r="A38" t="s">
        <v>4205</v>
      </c>
      <c r="B38" s="29" t="s">
        <v>4206</v>
      </c>
      <c r="C38" s="31">
        <v>1639</v>
      </c>
      <c r="D38" s="31" t="s">
        <v>4885</v>
      </c>
      <c r="E38" s="31" t="s">
        <v>4886</v>
      </c>
      <c r="F38" s="31" t="s">
        <v>3832</v>
      </c>
      <c r="G38" s="31" t="s">
        <v>4887</v>
      </c>
      <c r="H38" s="31" t="s">
        <v>5032</v>
      </c>
      <c r="I38" s="31" t="s">
        <v>5033</v>
      </c>
      <c r="J38" t="s">
        <v>4695</v>
      </c>
      <c r="K38" t="s">
        <v>4706</v>
      </c>
    </row>
    <row r="39" spans="1:11" ht="15" thickBot="1" x14ac:dyDescent="0.35">
      <c r="A39" t="s">
        <v>4207</v>
      </c>
      <c r="B39" s="29" t="s">
        <v>4208</v>
      </c>
      <c r="C39" s="31" t="s">
        <v>4888</v>
      </c>
      <c r="D39" s="31" t="s">
        <v>4889</v>
      </c>
      <c r="E39" s="31" t="s">
        <v>4890</v>
      </c>
      <c r="F39" s="31" t="s">
        <v>4891</v>
      </c>
      <c r="G39" s="31" t="s">
        <v>4892</v>
      </c>
      <c r="H39" s="31" t="s">
        <v>5034</v>
      </c>
      <c r="I39" s="31" t="s">
        <v>5035</v>
      </c>
      <c r="J39" t="s">
        <v>4695</v>
      </c>
      <c r="K39" t="s">
        <v>4707</v>
      </c>
    </row>
    <row r="40" spans="1:11" ht="15" thickBot="1" x14ac:dyDescent="0.35">
      <c r="A40" t="s">
        <v>4209</v>
      </c>
      <c r="B40" s="29" t="s">
        <v>4210</v>
      </c>
      <c r="C40" s="31" t="s">
        <v>4893</v>
      </c>
      <c r="D40" s="31" t="s">
        <v>4894</v>
      </c>
      <c r="E40" s="31" t="s">
        <v>4895</v>
      </c>
      <c r="F40" s="31" t="s">
        <v>4896</v>
      </c>
      <c r="G40" s="31" t="s">
        <v>4897</v>
      </c>
      <c r="H40" s="31" t="s">
        <v>5036</v>
      </c>
      <c r="I40" s="31" t="s">
        <v>5037</v>
      </c>
      <c r="J40" t="s">
        <v>4708</v>
      </c>
      <c r="K40" t="s">
        <v>4709</v>
      </c>
    </row>
    <row r="41" spans="1:11" ht="15" thickBot="1" x14ac:dyDescent="0.35">
      <c r="A41" t="s">
        <v>4211</v>
      </c>
      <c r="B41" s="29" t="s">
        <v>4212</v>
      </c>
      <c r="C41" s="31" t="s">
        <v>4898</v>
      </c>
      <c r="D41" s="31" t="s">
        <v>4899</v>
      </c>
      <c r="E41" s="31" t="s">
        <v>4900</v>
      </c>
      <c r="F41" s="31" t="s">
        <v>3580</v>
      </c>
      <c r="G41" s="31" t="s">
        <v>4901</v>
      </c>
      <c r="H41" s="31" t="s">
        <v>5007</v>
      </c>
      <c r="I41" s="31" t="s">
        <v>5038</v>
      </c>
      <c r="J41" t="s">
        <v>4710</v>
      </c>
      <c r="K41" t="s">
        <v>4711</v>
      </c>
    </row>
    <row r="42" spans="1:11" ht="15" thickBot="1" x14ac:dyDescent="0.35">
      <c r="A42" t="s">
        <v>4058</v>
      </c>
      <c r="B42" s="30" t="s">
        <v>4213</v>
      </c>
      <c r="C42" s="32">
        <v>1703</v>
      </c>
      <c r="D42" s="32" t="s">
        <v>297</v>
      </c>
      <c r="E42" s="32" t="s">
        <v>4902</v>
      </c>
      <c r="F42" s="32" t="s">
        <v>4903</v>
      </c>
      <c r="G42" s="32" t="s">
        <v>4904</v>
      </c>
      <c r="H42" s="31" t="s">
        <v>4983</v>
      </c>
      <c r="I42" s="31" t="s">
        <v>4998</v>
      </c>
      <c r="J42" t="s">
        <v>4712</v>
      </c>
      <c r="K42" t="s">
        <v>4713</v>
      </c>
    </row>
    <row r="43" spans="1:11" ht="15" thickBot="1" x14ac:dyDescent="0.35">
      <c r="A43" t="s">
        <v>4214</v>
      </c>
      <c r="B43" s="29" t="s">
        <v>4215</v>
      </c>
      <c r="C43" s="31" t="s">
        <v>4905</v>
      </c>
      <c r="D43" s="31"/>
      <c r="E43" s="31" t="s">
        <v>4906</v>
      </c>
      <c r="F43" s="31"/>
      <c r="G43" s="31" t="s">
        <v>4907</v>
      </c>
      <c r="H43" s="31" t="s">
        <v>5039</v>
      </c>
      <c r="I43" s="31" t="s">
        <v>5040</v>
      </c>
      <c r="J43" t="s">
        <v>4712</v>
      </c>
      <c r="K43" t="s">
        <v>4714</v>
      </c>
    </row>
    <row r="44" spans="1:11" ht="15" thickBot="1" x14ac:dyDescent="0.35">
      <c r="A44" t="s">
        <v>4216</v>
      </c>
      <c r="B44" s="29" t="s">
        <v>4217</v>
      </c>
      <c r="C44" s="31" t="s">
        <v>4908</v>
      </c>
      <c r="D44" s="31" t="s">
        <v>4909</v>
      </c>
      <c r="E44" s="31">
        <v>1675</v>
      </c>
      <c r="F44" s="31" t="s">
        <v>297</v>
      </c>
      <c r="G44" s="31" t="s">
        <v>4910</v>
      </c>
      <c r="H44" s="31" t="s">
        <v>5041</v>
      </c>
      <c r="I44" s="31" t="s">
        <v>5042</v>
      </c>
      <c r="J44" t="s">
        <v>4712</v>
      </c>
      <c r="K44" t="s">
        <v>4715</v>
      </c>
    </row>
    <row r="45" spans="1:11" ht="15" thickBot="1" x14ac:dyDescent="0.35">
      <c r="A45" t="s">
        <v>4059</v>
      </c>
      <c r="B45" s="30" t="s">
        <v>4218</v>
      </c>
      <c r="C45" s="32" t="s">
        <v>4911</v>
      </c>
      <c r="D45" s="32" t="s">
        <v>297</v>
      </c>
      <c r="E45" s="32">
        <v>1680</v>
      </c>
      <c r="F45" s="32" t="s">
        <v>297</v>
      </c>
      <c r="G45" s="32" t="s">
        <v>4912</v>
      </c>
      <c r="H45" s="31" t="s">
        <v>5043</v>
      </c>
      <c r="I45" s="31" t="s">
        <v>5020</v>
      </c>
      <c r="J45" t="s">
        <v>4712</v>
      </c>
      <c r="K45" t="s">
        <v>4716</v>
      </c>
    </row>
    <row r="46" spans="1:11" ht="15" thickBot="1" x14ac:dyDescent="0.35">
      <c r="A46" t="s">
        <v>4219</v>
      </c>
      <c r="B46" s="29" t="s">
        <v>4220</v>
      </c>
      <c r="C46" s="31">
        <v>1605</v>
      </c>
      <c r="D46" s="31"/>
      <c r="E46" s="31" t="s">
        <v>4913</v>
      </c>
      <c r="F46" s="31" t="s">
        <v>4914</v>
      </c>
      <c r="G46" s="31" t="s">
        <v>4915</v>
      </c>
      <c r="H46" s="31" t="s">
        <v>5044</v>
      </c>
      <c r="I46" s="31" t="s">
        <v>5012</v>
      </c>
      <c r="J46" t="s">
        <v>4712</v>
      </c>
      <c r="K46" t="s">
        <v>4717</v>
      </c>
    </row>
    <row r="47" spans="1:11" ht="15" thickBot="1" x14ac:dyDescent="0.35">
      <c r="A47" t="s">
        <v>4060</v>
      </c>
      <c r="B47" s="29" t="s">
        <v>4221</v>
      </c>
      <c r="C47" s="31" t="s">
        <v>4916</v>
      </c>
      <c r="D47" s="31" t="s">
        <v>4917</v>
      </c>
      <c r="E47" s="31" t="s">
        <v>4918</v>
      </c>
      <c r="F47" s="31" t="s">
        <v>190</v>
      </c>
      <c r="G47" s="31" t="s">
        <v>4919</v>
      </c>
      <c r="H47" s="31" t="s">
        <v>5035</v>
      </c>
      <c r="I47" s="31" t="s">
        <v>5018</v>
      </c>
      <c r="J47" t="s">
        <v>4712</v>
      </c>
      <c r="K47" t="s">
        <v>4718</v>
      </c>
    </row>
    <row r="48" spans="1:11" ht="15" thickBot="1" x14ac:dyDescent="0.35">
      <c r="A48" t="s">
        <v>4061</v>
      </c>
      <c r="B48" s="30" t="s">
        <v>4222</v>
      </c>
      <c r="C48" s="32" t="s">
        <v>4920</v>
      </c>
      <c r="D48" s="32" t="s">
        <v>4921</v>
      </c>
      <c r="E48" s="32" t="s">
        <v>4922</v>
      </c>
      <c r="F48" s="32"/>
      <c r="G48" s="32" t="s">
        <v>4923</v>
      </c>
      <c r="H48" s="31" t="s">
        <v>5045</v>
      </c>
      <c r="I48" s="31" t="s">
        <v>5046</v>
      </c>
      <c r="J48" t="s">
        <v>4712</v>
      </c>
      <c r="K48" t="s">
        <v>4719</v>
      </c>
    </row>
    <row r="49" spans="1:11" ht="15" thickBot="1" x14ac:dyDescent="0.35">
      <c r="A49" t="s">
        <v>4062</v>
      </c>
      <c r="B49" s="30" t="s">
        <v>4129</v>
      </c>
      <c r="C49" s="32">
        <v>1588</v>
      </c>
      <c r="D49" s="32"/>
      <c r="E49" s="32">
        <v>1644</v>
      </c>
      <c r="F49" s="32"/>
      <c r="G49" s="32" t="s">
        <v>4924</v>
      </c>
      <c r="H49" s="31" t="s">
        <v>5047</v>
      </c>
      <c r="I49" s="31" t="s">
        <v>5048</v>
      </c>
      <c r="J49" t="s">
        <v>4712</v>
      </c>
      <c r="K49" t="s">
        <v>4720</v>
      </c>
    </row>
    <row r="50" spans="1:11" ht="15" thickBot="1" x14ac:dyDescent="0.35">
      <c r="A50" t="s">
        <v>4223</v>
      </c>
      <c r="B50" s="29" t="s">
        <v>4224</v>
      </c>
      <c r="C50" s="31">
        <v>1602</v>
      </c>
      <c r="D50" s="31"/>
      <c r="E50" s="31">
        <v>1671</v>
      </c>
      <c r="F50" s="31"/>
      <c r="G50" s="31" t="s">
        <v>4925</v>
      </c>
      <c r="H50" s="31" t="s">
        <v>5049</v>
      </c>
      <c r="I50" s="31" t="s">
        <v>5027</v>
      </c>
      <c r="J50" t="s">
        <v>4721</v>
      </c>
      <c r="K50" t="s">
        <v>4722</v>
      </c>
    </row>
    <row r="51" spans="1:11" ht="15" thickBot="1" x14ac:dyDescent="0.35">
      <c r="A51" t="s">
        <v>4225</v>
      </c>
      <c r="B51" s="29" t="s">
        <v>4226</v>
      </c>
      <c r="C51" s="31">
        <v>1676</v>
      </c>
      <c r="D51" s="31"/>
      <c r="E51" s="31" t="s">
        <v>4926</v>
      </c>
      <c r="F51" s="31"/>
      <c r="G51" s="31" t="s">
        <v>4927</v>
      </c>
      <c r="H51" s="31" t="s">
        <v>4976</v>
      </c>
      <c r="I51" s="31" t="s">
        <v>5050</v>
      </c>
      <c r="J51" t="s">
        <v>4721</v>
      </c>
      <c r="K51" t="s">
        <v>4723</v>
      </c>
    </row>
    <row r="52" spans="1:11" ht="15" thickBot="1" x14ac:dyDescent="0.35">
      <c r="A52" t="s">
        <v>4227</v>
      </c>
      <c r="B52" s="29" t="s">
        <v>4228</v>
      </c>
      <c r="C52" s="31" t="s">
        <v>4928</v>
      </c>
      <c r="D52" s="31"/>
      <c r="E52" s="31" t="s">
        <v>4929</v>
      </c>
      <c r="F52" s="31"/>
      <c r="G52" s="31" t="s">
        <v>4930</v>
      </c>
      <c r="H52" s="31" t="s">
        <v>5045</v>
      </c>
      <c r="I52" s="31" t="s">
        <v>5051</v>
      </c>
      <c r="J52" t="s">
        <v>4721</v>
      </c>
      <c r="K52" t="s">
        <v>4724</v>
      </c>
    </row>
    <row r="53" spans="1:11" ht="15" thickBot="1" x14ac:dyDescent="0.35">
      <c r="A53" t="s">
        <v>2619</v>
      </c>
      <c r="B53" s="29" t="s">
        <v>4229</v>
      </c>
      <c r="C53" s="31" t="s">
        <v>4931</v>
      </c>
      <c r="D53" s="31" t="s">
        <v>4932</v>
      </c>
      <c r="E53" s="31" t="s">
        <v>4933</v>
      </c>
      <c r="F53" s="31"/>
      <c r="G53" s="31" t="s">
        <v>4934</v>
      </c>
      <c r="H53" s="31" t="s">
        <v>5052</v>
      </c>
      <c r="I53" s="31" t="s">
        <v>5053</v>
      </c>
      <c r="J53" t="s">
        <v>4721</v>
      </c>
      <c r="K53" t="s">
        <v>4725</v>
      </c>
    </row>
    <row r="54" spans="1:11" ht="15" thickBot="1" x14ac:dyDescent="0.35">
      <c r="A54" t="s">
        <v>4230</v>
      </c>
      <c r="B54" s="29" t="s">
        <v>4231</v>
      </c>
      <c r="C54" s="31">
        <v>1603</v>
      </c>
      <c r="D54" s="31" t="s">
        <v>297</v>
      </c>
      <c r="E54" s="31">
        <v>1657</v>
      </c>
      <c r="F54" s="31" t="s">
        <v>297</v>
      </c>
      <c r="G54" s="31" t="s">
        <v>4935</v>
      </c>
      <c r="H54" s="31" t="s">
        <v>5054</v>
      </c>
      <c r="I54" s="31" t="s">
        <v>5025</v>
      </c>
      <c r="J54" t="s">
        <v>4721</v>
      </c>
      <c r="K54" t="s">
        <v>4726</v>
      </c>
    </row>
    <row r="55" spans="1:11" ht="15" thickBot="1" x14ac:dyDescent="0.35">
      <c r="A55" t="s">
        <v>4232</v>
      </c>
      <c r="B55" s="29" t="s">
        <v>4233</v>
      </c>
      <c r="C55" s="31" t="s">
        <v>4936</v>
      </c>
      <c r="D55" s="31" t="s">
        <v>4937</v>
      </c>
      <c r="E55" s="31" t="s">
        <v>4938</v>
      </c>
      <c r="F55" s="31" t="s">
        <v>190</v>
      </c>
      <c r="G55" s="31" t="s">
        <v>4939</v>
      </c>
      <c r="H55" s="31" t="s">
        <v>5051</v>
      </c>
      <c r="I55" s="31" t="s">
        <v>4990</v>
      </c>
      <c r="J55" t="s">
        <v>4721</v>
      </c>
      <c r="K55" t="s">
        <v>4662</v>
      </c>
    </row>
    <row r="56" spans="1:11" ht="15" thickBot="1" x14ac:dyDescent="0.35">
      <c r="A56" t="s">
        <v>4063</v>
      </c>
      <c r="B56" s="30" t="s">
        <v>4234</v>
      </c>
      <c r="C56" s="32" t="s">
        <v>4940</v>
      </c>
      <c r="D56" s="32"/>
      <c r="E56" s="32">
        <v>1632</v>
      </c>
      <c r="F56" s="32"/>
      <c r="G56" s="32" t="s">
        <v>4941</v>
      </c>
      <c r="H56" s="31" t="s">
        <v>5055</v>
      </c>
      <c r="I56" s="31" t="s">
        <v>5056</v>
      </c>
      <c r="J56" t="s">
        <v>4721</v>
      </c>
      <c r="K56" t="s">
        <v>4727</v>
      </c>
    </row>
    <row r="57" spans="1:11" ht="15" thickBot="1" x14ac:dyDescent="0.35">
      <c r="A57" t="s">
        <v>4235</v>
      </c>
      <c r="B57" s="29" t="s">
        <v>4236</v>
      </c>
      <c r="C57" s="31">
        <v>1550</v>
      </c>
      <c r="D57" s="31" t="s">
        <v>4942</v>
      </c>
      <c r="E57" s="31">
        <v>1608</v>
      </c>
      <c r="F57" s="31"/>
      <c r="G57" s="31" t="s">
        <v>4943</v>
      </c>
      <c r="H57" s="31" t="s">
        <v>5029</v>
      </c>
      <c r="I57" s="31" t="s">
        <v>5057</v>
      </c>
      <c r="J57" t="s">
        <v>4721</v>
      </c>
      <c r="K57" t="s">
        <v>4728</v>
      </c>
    </row>
    <row r="58" spans="1:11" ht="15" thickBot="1" x14ac:dyDescent="0.35">
      <c r="A58" t="s">
        <v>4064</v>
      </c>
      <c r="B58" s="30" t="s">
        <v>4237</v>
      </c>
      <c r="C58" s="32" t="s">
        <v>4944</v>
      </c>
      <c r="D58" s="32" t="s">
        <v>4945</v>
      </c>
      <c r="E58" s="32" t="s">
        <v>4946</v>
      </c>
      <c r="F58" s="32" t="s">
        <v>4947</v>
      </c>
      <c r="G58" s="32" t="s">
        <v>4948</v>
      </c>
      <c r="H58" s="31" t="s">
        <v>5057</v>
      </c>
      <c r="I58" s="31" t="s">
        <v>5027</v>
      </c>
      <c r="J58" t="s">
        <v>4721</v>
      </c>
      <c r="K58" t="s">
        <v>4729</v>
      </c>
    </row>
    <row r="59" spans="1:11" ht="15" thickBot="1" x14ac:dyDescent="0.35">
      <c r="A59" t="s">
        <v>4238</v>
      </c>
      <c r="B59" s="29" t="s">
        <v>4239</v>
      </c>
      <c r="C59" s="31">
        <v>1590</v>
      </c>
      <c r="D59" s="31" t="s">
        <v>4949</v>
      </c>
      <c r="E59" s="31" t="s">
        <v>4950</v>
      </c>
      <c r="F59" s="31" t="s">
        <v>4951</v>
      </c>
      <c r="G59" s="31" t="s">
        <v>4952</v>
      </c>
      <c r="H59" s="31" t="s">
        <v>5058</v>
      </c>
      <c r="I59" s="31" t="s">
        <v>5048</v>
      </c>
      <c r="J59" t="s">
        <v>4721</v>
      </c>
      <c r="K59" t="s">
        <v>4730</v>
      </c>
    </row>
    <row r="60" spans="1:11" ht="15" thickBot="1" x14ac:dyDescent="0.35">
      <c r="A60" t="s">
        <v>4065</v>
      </c>
      <c r="B60" s="30" t="s">
        <v>4130</v>
      </c>
      <c r="C60" s="32">
        <v>1587</v>
      </c>
      <c r="D60" s="32" t="s">
        <v>4953</v>
      </c>
      <c r="E60" s="32" t="s">
        <v>4954</v>
      </c>
      <c r="F60" s="32"/>
      <c r="G60" s="32" t="s">
        <v>4955</v>
      </c>
      <c r="H60" s="31" t="s">
        <v>5059</v>
      </c>
      <c r="I60" s="31" t="s">
        <v>5060</v>
      </c>
      <c r="J60" t="s">
        <v>4721</v>
      </c>
      <c r="K60" t="s">
        <v>4731</v>
      </c>
    </row>
    <row r="61" spans="1:11" ht="15" thickBot="1" x14ac:dyDescent="0.35">
      <c r="A61" t="s">
        <v>4240</v>
      </c>
      <c r="B61" s="29" t="s">
        <v>4241</v>
      </c>
      <c r="C61" s="31" t="s">
        <v>4956</v>
      </c>
      <c r="D61" s="31" t="s">
        <v>4957</v>
      </c>
      <c r="E61" s="31" t="s">
        <v>4958</v>
      </c>
      <c r="F61" s="31" t="s">
        <v>3855</v>
      </c>
      <c r="G61" s="31" t="s">
        <v>4959</v>
      </c>
      <c r="H61" s="31" t="s">
        <v>5061</v>
      </c>
      <c r="I61" s="31" t="s">
        <v>4985</v>
      </c>
      <c r="J61" t="s">
        <v>4732</v>
      </c>
      <c r="K61" t="s">
        <v>4733</v>
      </c>
    </row>
    <row r="62" spans="1:11" ht="15" thickBot="1" x14ac:dyDescent="0.35">
      <c r="A62" t="s">
        <v>4242</v>
      </c>
      <c r="B62" s="29" t="s">
        <v>4243</v>
      </c>
      <c r="C62" s="31" t="s">
        <v>4960</v>
      </c>
      <c r="D62" s="31" t="s">
        <v>4961</v>
      </c>
      <c r="E62" s="31" t="s">
        <v>4962</v>
      </c>
      <c r="F62" s="31" t="s">
        <v>4793</v>
      </c>
      <c r="G62" s="31" t="s">
        <v>4963</v>
      </c>
      <c r="H62" s="31" t="s">
        <v>5062</v>
      </c>
      <c r="I62" s="31" t="s">
        <v>5063</v>
      </c>
      <c r="J62" t="s">
        <v>4734</v>
      </c>
      <c r="K62" t="s">
        <v>4735</v>
      </c>
    </row>
    <row r="63" spans="1:11" ht="15" thickBot="1" x14ac:dyDescent="0.35">
      <c r="A63" t="s">
        <v>4244</v>
      </c>
      <c r="B63" s="29" t="s">
        <v>4245</v>
      </c>
      <c r="C63" s="31">
        <v>1610</v>
      </c>
      <c r="D63" s="31" t="s">
        <v>4964</v>
      </c>
      <c r="E63" s="31" t="s">
        <v>4965</v>
      </c>
      <c r="F63" s="31" t="s">
        <v>4966</v>
      </c>
      <c r="G63" s="31" t="s">
        <v>4967</v>
      </c>
      <c r="H63" s="31" t="s">
        <v>5064</v>
      </c>
      <c r="I63" s="31" t="s">
        <v>4994</v>
      </c>
      <c r="J63" t="s">
        <v>4736</v>
      </c>
      <c r="K63" t="s">
        <v>4737</v>
      </c>
    </row>
    <row r="64" spans="1:11" ht="15" thickBot="1" x14ac:dyDescent="0.35">
      <c r="A64" t="s">
        <v>4246</v>
      </c>
      <c r="B64" s="29" t="s">
        <v>4247</v>
      </c>
      <c r="C64" s="31" t="s">
        <v>4968</v>
      </c>
      <c r="D64" s="31" t="s">
        <v>4969</v>
      </c>
      <c r="E64" s="31" t="s">
        <v>4970</v>
      </c>
      <c r="F64" s="31" t="s">
        <v>4971</v>
      </c>
      <c r="G64" s="31" t="s">
        <v>4972</v>
      </c>
      <c r="H64" s="31" t="s">
        <v>5051</v>
      </c>
      <c r="I64" s="31" t="s">
        <v>5065</v>
      </c>
      <c r="J64" t="s">
        <v>4738</v>
      </c>
      <c r="K64" t="s">
        <v>4739</v>
      </c>
    </row>
    <row r="65" spans="1:11" ht="15" thickBot="1" x14ac:dyDescent="0.35">
      <c r="A65" t="s">
        <v>4248</v>
      </c>
      <c r="B65" s="29" t="s">
        <v>4249</v>
      </c>
      <c r="C65" s="31">
        <v>1659</v>
      </c>
      <c r="D65" s="31"/>
      <c r="E65" s="31" t="s">
        <v>5066</v>
      </c>
      <c r="F65" s="31" t="s">
        <v>5067</v>
      </c>
      <c r="G65" s="31" t="s">
        <v>5068</v>
      </c>
      <c r="H65" s="31">
        <v>1659</v>
      </c>
      <c r="I65" s="31">
        <v>1704</v>
      </c>
      <c r="J65" t="s">
        <v>1150</v>
      </c>
      <c r="K65" t="s">
        <v>4740</v>
      </c>
    </row>
    <row r="66" spans="1:11" ht="15" thickBot="1" x14ac:dyDescent="0.35">
      <c r="A66" t="s">
        <v>4250</v>
      </c>
      <c r="B66" s="29" t="s">
        <v>4251</v>
      </c>
      <c r="C66" s="31">
        <v>1610</v>
      </c>
      <c r="D66" s="31"/>
      <c r="E66" s="31" t="s">
        <v>5069</v>
      </c>
      <c r="F66" s="31" t="s">
        <v>4793</v>
      </c>
      <c r="G66" s="31" t="s">
        <v>5070</v>
      </c>
      <c r="H66" s="31">
        <v>1610</v>
      </c>
      <c r="I66" s="31">
        <v>1693</v>
      </c>
      <c r="J66" t="s">
        <v>4741</v>
      </c>
      <c r="K66" t="s">
        <v>4742</v>
      </c>
    </row>
    <row r="67" spans="1:11" ht="15" thickBot="1" x14ac:dyDescent="0.35">
      <c r="A67" t="s">
        <v>4066</v>
      </c>
      <c r="B67" s="30" t="s">
        <v>4252</v>
      </c>
      <c r="C67" s="32" t="s">
        <v>5071</v>
      </c>
      <c r="D67" s="32" t="s">
        <v>5072</v>
      </c>
      <c r="E67" s="32" t="s">
        <v>5073</v>
      </c>
      <c r="F67" s="32" t="s">
        <v>5074</v>
      </c>
      <c r="G67" s="32" t="s">
        <v>5074</v>
      </c>
      <c r="H67" s="31">
        <v>1615</v>
      </c>
      <c r="I67" s="31">
        <v>1683</v>
      </c>
      <c r="J67" t="s">
        <v>4741</v>
      </c>
      <c r="K67" t="s">
        <v>4743</v>
      </c>
    </row>
    <row r="68" spans="1:11" ht="15" thickBot="1" x14ac:dyDescent="0.35">
      <c r="A68" t="s">
        <v>4253</v>
      </c>
      <c r="B68" s="29" t="s">
        <v>4254</v>
      </c>
      <c r="C68" s="31" t="s">
        <v>5075</v>
      </c>
      <c r="D68" s="31" t="s">
        <v>5076</v>
      </c>
      <c r="E68" s="31" t="s">
        <v>5077</v>
      </c>
      <c r="F68" s="31" t="s">
        <v>179</v>
      </c>
      <c r="G68" s="31" t="s">
        <v>5078</v>
      </c>
      <c r="H68" s="31">
        <v>1721</v>
      </c>
      <c r="I68" s="31">
        <v>1806</v>
      </c>
      <c r="J68" t="s">
        <v>4741</v>
      </c>
      <c r="K68" t="s">
        <v>4744</v>
      </c>
    </row>
    <row r="69" spans="1:11" ht="15" thickBot="1" x14ac:dyDescent="0.35">
      <c r="A69" t="s">
        <v>4255</v>
      </c>
      <c r="B69" s="29" t="s">
        <v>4256</v>
      </c>
      <c r="C69" s="31"/>
      <c r="D69" s="31"/>
      <c r="E69" s="31" t="s">
        <v>5079</v>
      </c>
      <c r="F69" s="31"/>
      <c r="G69" s="31" t="s">
        <v>5080</v>
      </c>
      <c r="H69" s="31" t="s">
        <v>4982</v>
      </c>
      <c r="I69" s="31">
        <v>1683</v>
      </c>
      <c r="J69" t="s">
        <v>4741</v>
      </c>
      <c r="K69" t="s">
        <v>4745</v>
      </c>
    </row>
    <row r="70" spans="1:11" ht="15" thickBot="1" x14ac:dyDescent="0.35">
      <c r="A70" t="s">
        <v>4067</v>
      </c>
      <c r="B70" s="30" t="s">
        <v>4257</v>
      </c>
      <c r="C70" s="32" t="s">
        <v>5081</v>
      </c>
      <c r="D70" s="32" t="s">
        <v>5082</v>
      </c>
      <c r="E70" s="32" t="s">
        <v>5083</v>
      </c>
      <c r="F70" s="32" t="s">
        <v>3256</v>
      </c>
      <c r="G70" s="32" t="s">
        <v>5084</v>
      </c>
      <c r="H70" s="31">
        <v>1724</v>
      </c>
      <c r="I70" s="31">
        <v>1792</v>
      </c>
      <c r="J70" t="s">
        <v>4741</v>
      </c>
      <c r="K70" t="s">
        <v>4746</v>
      </c>
    </row>
    <row r="71" spans="1:11" ht="15" thickBot="1" x14ac:dyDescent="0.35">
      <c r="A71" t="s">
        <v>4258</v>
      </c>
      <c r="B71" s="29" t="s">
        <v>4259</v>
      </c>
      <c r="C71" s="31" t="s">
        <v>5085</v>
      </c>
      <c r="D71" s="31" t="s">
        <v>5086</v>
      </c>
      <c r="E71" s="31" t="s">
        <v>5087</v>
      </c>
      <c r="F71" s="31" t="s">
        <v>5088</v>
      </c>
      <c r="G71" s="31" t="s">
        <v>5089</v>
      </c>
      <c r="H71" s="31">
        <v>1690</v>
      </c>
      <c r="I71" s="31">
        <v>1777</v>
      </c>
      <c r="J71" t="s">
        <v>4741</v>
      </c>
      <c r="K71" t="s">
        <v>4747</v>
      </c>
    </row>
    <row r="72" spans="1:11" ht="15" thickBot="1" x14ac:dyDescent="0.35">
      <c r="A72" t="s">
        <v>4260</v>
      </c>
      <c r="B72" s="29" t="s">
        <v>4261</v>
      </c>
      <c r="C72" s="31"/>
      <c r="D72" s="31"/>
      <c r="E72" s="31" t="s">
        <v>5090</v>
      </c>
      <c r="F72" s="31"/>
      <c r="G72" s="31" t="s">
        <v>5091</v>
      </c>
      <c r="H72" s="31" t="s">
        <v>4982</v>
      </c>
      <c r="I72" s="31">
        <v>1691</v>
      </c>
      <c r="J72" t="s">
        <v>4741</v>
      </c>
      <c r="K72" t="s">
        <v>4748</v>
      </c>
    </row>
    <row r="73" spans="1:11" ht="15" thickBot="1" x14ac:dyDescent="0.35">
      <c r="A73" t="s">
        <v>4262</v>
      </c>
      <c r="B73" s="29" t="s">
        <v>4263</v>
      </c>
      <c r="C73" s="31" t="s">
        <v>5092</v>
      </c>
      <c r="D73" s="31" t="s">
        <v>5093</v>
      </c>
      <c r="E73" s="31" t="s">
        <v>5094</v>
      </c>
      <c r="F73" s="31" t="s">
        <v>5095</v>
      </c>
      <c r="G73" s="31" t="s">
        <v>5096</v>
      </c>
      <c r="H73" s="31">
        <v>1613</v>
      </c>
      <c r="I73" s="31">
        <v>1662</v>
      </c>
      <c r="J73" t="s">
        <v>4741</v>
      </c>
      <c r="K73" t="s">
        <v>4749</v>
      </c>
    </row>
    <row r="74" spans="1:11" ht="15" thickBot="1" x14ac:dyDescent="0.35">
      <c r="A74" t="s">
        <v>4068</v>
      </c>
      <c r="B74" s="30" t="s">
        <v>4264</v>
      </c>
      <c r="C74" s="32" t="s">
        <v>5097</v>
      </c>
      <c r="D74" s="32" t="s">
        <v>5098</v>
      </c>
      <c r="E74" s="32" t="s">
        <v>5099</v>
      </c>
      <c r="F74" s="32" t="s">
        <v>5100</v>
      </c>
      <c r="G74" s="32" t="s">
        <v>5101</v>
      </c>
      <c r="H74" s="31">
        <v>1625</v>
      </c>
      <c r="I74" s="31">
        <v>1678</v>
      </c>
      <c r="J74" t="s">
        <v>4750</v>
      </c>
      <c r="K74" t="s">
        <v>4751</v>
      </c>
    </row>
    <row r="75" spans="1:11" ht="15" thickBot="1" x14ac:dyDescent="0.35">
      <c r="A75" t="s">
        <v>4265</v>
      </c>
      <c r="B75" s="29" t="s">
        <v>4266</v>
      </c>
      <c r="C75" s="31">
        <v>1718</v>
      </c>
      <c r="D75" s="31" t="s">
        <v>5102</v>
      </c>
      <c r="E75" s="31" t="s">
        <v>5103</v>
      </c>
      <c r="F75" s="31" t="s">
        <v>5104</v>
      </c>
      <c r="G75" s="31" t="s">
        <v>5105</v>
      </c>
      <c r="H75" s="31">
        <v>1718</v>
      </c>
      <c r="I75" s="31">
        <v>1790</v>
      </c>
      <c r="J75" t="s">
        <v>4752</v>
      </c>
      <c r="K75" t="s">
        <v>4753</v>
      </c>
    </row>
    <row r="76" spans="1:11" ht="15" thickBot="1" x14ac:dyDescent="0.35">
      <c r="A76" t="s">
        <v>4069</v>
      </c>
      <c r="B76" s="30" t="s">
        <v>4267</v>
      </c>
      <c r="C76" s="32"/>
      <c r="D76" s="32"/>
      <c r="E76" s="32" t="s">
        <v>5106</v>
      </c>
      <c r="F76" s="32"/>
      <c r="G76" s="32" t="s">
        <v>5107</v>
      </c>
      <c r="H76" s="31" t="s">
        <v>4982</v>
      </c>
      <c r="I76" s="31">
        <v>1726</v>
      </c>
      <c r="J76" t="s">
        <v>4754</v>
      </c>
      <c r="K76" t="s">
        <v>4755</v>
      </c>
    </row>
    <row r="77" spans="1:11" ht="15" thickBot="1" x14ac:dyDescent="0.35">
      <c r="A77" t="s">
        <v>4268</v>
      </c>
      <c r="B77" s="29" t="s">
        <v>4269</v>
      </c>
      <c r="C77" s="31" t="s">
        <v>5108</v>
      </c>
      <c r="D77" s="31" t="s">
        <v>5109</v>
      </c>
      <c r="E77" s="31" t="s">
        <v>5110</v>
      </c>
      <c r="F77" s="31" t="s">
        <v>5111</v>
      </c>
      <c r="G77" s="31" t="s">
        <v>5112</v>
      </c>
      <c r="H77" s="31">
        <v>1640</v>
      </c>
      <c r="I77" s="31">
        <v>1691</v>
      </c>
      <c r="J77" t="s">
        <v>4756</v>
      </c>
      <c r="K77" t="s">
        <v>4757</v>
      </c>
    </row>
    <row r="78" spans="1:11" ht="15" thickBot="1" x14ac:dyDescent="0.35">
      <c r="A78" t="s">
        <v>4270</v>
      </c>
      <c r="B78" s="29" t="s">
        <v>4271</v>
      </c>
      <c r="C78" s="31">
        <v>1736</v>
      </c>
      <c r="D78" s="31"/>
      <c r="E78" s="31">
        <v>1781</v>
      </c>
      <c r="F78" s="31" t="s">
        <v>5113</v>
      </c>
      <c r="G78" s="31" t="s">
        <v>5114</v>
      </c>
      <c r="H78" s="31">
        <v>1736</v>
      </c>
      <c r="I78" s="31">
        <v>1781</v>
      </c>
      <c r="J78" t="s">
        <v>4758</v>
      </c>
      <c r="K78" t="s">
        <v>4759</v>
      </c>
    </row>
    <row r="79" spans="1:11" ht="15" thickBot="1" x14ac:dyDescent="0.35">
      <c r="A79" t="s">
        <v>4070</v>
      </c>
      <c r="B79" s="30" t="s">
        <v>4272</v>
      </c>
      <c r="C79" s="32">
        <v>1655</v>
      </c>
      <c r="D79" s="32" t="s">
        <v>3101</v>
      </c>
      <c r="E79" s="32" t="s">
        <v>5115</v>
      </c>
      <c r="F79" s="32" t="s">
        <v>4855</v>
      </c>
      <c r="G79" s="32" t="s">
        <v>5116</v>
      </c>
      <c r="H79" s="31">
        <v>1655</v>
      </c>
      <c r="I79" s="31">
        <v>1743</v>
      </c>
      <c r="J79" t="s">
        <v>4650</v>
      </c>
      <c r="K79" t="s">
        <v>4760</v>
      </c>
    </row>
    <row r="80" spans="1:11" ht="15" thickBot="1" x14ac:dyDescent="0.35">
      <c r="A80" t="s">
        <v>4071</v>
      </c>
      <c r="B80" s="30" t="s">
        <v>4273</v>
      </c>
      <c r="C80" s="32"/>
      <c r="D80" s="32"/>
      <c r="E80" s="32">
        <v>1706</v>
      </c>
      <c r="F80" s="32" t="s">
        <v>5117</v>
      </c>
      <c r="G80" s="32" t="s">
        <v>5118</v>
      </c>
      <c r="H80" s="31" t="s">
        <v>4982</v>
      </c>
      <c r="I80" s="31">
        <v>1706</v>
      </c>
      <c r="J80" t="s">
        <v>4650</v>
      </c>
      <c r="K80" t="s">
        <v>4761</v>
      </c>
    </row>
    <row r="81" spans="1:11" ht="15" thickBot="1" x14ac:dyDescent="0.35">
      <c r="A81" t="s">
        <v>4274</v>
      </c>
      <c r="B81" s="29" t="s">
        <v>4275</v>
      </c>
      <c r="C81" s="31" t="s">
        <v>5119</v>
      </c>
      <c r="D81" s="31" t="s">
        <v>5120</v>
      </c>
      <c r="E81" s="31" t="s">
        <v>5121</v>
      </c>
      <c r="F81" s="31" t="s">
        <v>5120</v>
      </c>
      <c r="G81" s="31" t="s">
        <v>5122</v>
      </c>
      <c r="H81" s="31">
        <v>1703</v>
      </c>
      <c r="I81" s="31">
        <v>1760</v>
      </c>
      <c r="J81" t="s">
        <v>4650</v>
      </c>
      <c r="K81" t="s">
        <v>4651</v>
      </c>
    </row>
    <row r="82" spans="1:11" ht="15" thickBot="1" x14ac:dyDescent="0.35">
      <c r="A82" t="s">
        <v>4072</v>
      </c>
      <c r="B82" s="30" t="s">
        <v>4276</v>
      </c>
      <c r="C82" s="32">
        <v>1701</v>
      </c>
      <c r="D82" s="32"/>
      <c r="E82" s="32" t="s">
        <v>5123</v>
      </c>
      <c r="F82" s="32" t="s">
        <v>190</v>
      </c>
      <c r="G82" s="32" t="s">
        <v>5124</v>
      </c>
      <c r="H82" s="31">
        <v>1701</v>
      </c>
      <c r="I82" s="31">
        <v>1777</v>
      </c>
      <c r="J82" t="s">
        <v>4650</v>
      </c>
      <c r="K82" t="s">
        <v>5845</v>
      </c>
    </row>
    <row r="83" spans="1:11" ht="15" thickBot="1" x14ac:dyDescent="0.35">
      <c r="A83" t="s">
        <v>4277</v>
      </c>
      <c r="B83" s="29" t="s">
        <v>4278</v>
      </c>
      <c r="C83" s="31">
        <v>1710</v>
      </c>
      <c r="D83" s="31" t="s">
        <v>3832</v>
      </c>
      <c r="E83" s="31" t="s">
        <v>5125</v>
      </c>
      <c r="F83" s="31" t="s">
        <v>5126</v>
      </c>
      <c r="G83" s="31" t="s">
        <v>5127</v>
      </c>
      <c r="H83" s="31">
        <v>1710</v>
      </c>
      <c r="I83" s="31">
        <v>1783</v>
      </c>
      <c r="J83" t="s">
        <v>4650</v>
      </c>
      <c r="K83" t="s">
        <v>4662</v>
      </c>
    </row>
    <row r="84" spans="1:11" ht="15" thickBot="1" x14ac:dyDescent="0.35">
      <c r="A84" t="s">
        <v>4279</v>
      </c>
      <c r="B84" s="29" t="s">
        <v>4280</v>
      </c>
      <c r="C84" s="31" t="s">
        <v>5128</v>
      </c>
      <c r="D84" s="31" t="s">
        <v>5129</v>
      </c>
      <c r="E84" s="31" t="s">
        <v>5130</v>
      </c>
      <c r="F84" s="31" t="s">
        <v>5131</v>
      </c>
      <c r="G84" s="31" t="s">
        <v>5132</v>
      </c>
      <c r="H84" s="31">
        <v>1674</v>
      </c>
      <c r="I84" s="31">
        <v>1751</v>
      </c>
      <c r="J84" t="s">
        <v>4650</v>
      </c>
      <c r="K84" t="s">
        <v>5846</v>
      </c>
    </row>
    <row r="85" spans="1:11" ht="15" thickBot="1" x14ac:dyDescent="0.35">
      <c r="A85" t="s">
        <v>4073</v>
      </c>
      <c r="B85" s="30" t="s">
        <v>4281</v>
      </c>
      <c r="C85" s="32" t="s">
        <v>5133</v>
      </c>
      <c r="D85" s="32"/>
      <c r="E85" s="32" t="s">
        <v>5134</v>
      </c>
      <c r="F85" s="32"/>
      <c r="G85" s="32" t="s">
        <v>5135</v>
      </c>
      <c r="H85" s="31">
        <v>1682</v>
      </c>
      <c r="I85" s="31">
        <v>1724</v>
      </c>
      <c r="J85" t="s">
        <v>4650</v>
      </c>
      <c r="K85" t="s">
        <v>5847</v>
      </c>
    </row>
    <row r="86" spans="1:11" ht="15" thickBot="1" x14ac:dyDescent="0.35">
      <c r="A86" t="s">
        <v>4074</v>
      </c>
      <c r="B86" s="30" t="s">
        <v>4282</v>
      </c>
      <c r="C86" s="32" t="s">
        <v>5136</v>
      </c>
      <c r="D86" s="32" t="s">
        <v>297</v>
      </c>
      <c r="E86" s="32">
        <v>1706</v>
      </c>
      <c r="F86" s="32"/>
      <c r="G86" s="32" t="s">
        <v>5137</v>
      </c>
      <c r="H86" s="31">
        <v>1650</v>
      </c>
      <c r="I86" s="31">
        <v>1706</v>
      </c>
      <c r="J86" t="s">
        <v>4650</v>
      </c>
      <c r="K86" t="s">
        <v>5847</v>
      </c>
    </row>
    <row r="87" spans="1:11" ht="15" thickBot="1" x14ac:dyDescent="0.35">
      <c r="A87" t="s">
        <v>4283</v>
      </c>
      <c r="B87" s="29" t="s">
        <v>4284</v>
      </c>
      <c r="C87" s="31" t="s">
        <v>5138</v>
      </c>
      <c r="D87" s="31" t="s">
        <v>5139</v>
      </c>
      <c r="E87" s="31" t="s">
        <v>5140</v>
      </c>
      <c r="F87" s="31" t="s">
        <v>5141</v>
      </c>
      <c r="G87" s="31" t="s">
        <v>5142</v>
      </c>
      <c r="H87" s="31">
        <v>1696</v>
      </c>
      <c r="I87" s="31">
        <v>1785</v>
      </c>
      <c r="J87" t="s">
        <v>4650</v>
      </c>
      <c r="K87" t="s">
        <v>5848</v>
      </c>
    </row>
    <row r="88" spans="1:11" ht="15" thickBot="1" x14ac:dyDescent="0.35">
      <c r="A88" t="s">
        <v>4285</v>
      </c>
      <c r="B88" s="29" t="s">
        <v>4286</v>
      </c>
      <c r="C88" s="31">
        <v>1717</v>
      </c>
      <c r="D88" s="31" t="s">
        <v>5143</v>
      </c>
      <c r="E88" s="31" t="s">
        <v>5144</v>
      </c>
      <c r="F88" s="31"/>
      <c r="G88" s="31" t="s">
        <v>5145</v>
      </c>
      <c r="H88" s="31">
        <v>1717</v>
      </c>
      <c r="I88" s="31">
        <v>1788</v>
      </c>
      <c r="J88" t="s">
        <v>4650</v>
      </c>
      <c r="K88" t="s">
        <v>5849</v>
      </c>
    </row>
    <row r="89" spans="1:11" ht="15" thickBot="1" x14ac:dyDescent="0.35">
      <c r="A89" t="s">
        <v>4287</v>
      </c>
      <c r="B89" s="29" t="s">
        <v>4288</v>
      </c>
      <c r="C89" s="31" t="s">
        <v>5146</v>
      </c>
      <c r="D89" s="31" t="s">
        <v>190</v>
      </c>
      <c r="E89" s="31" t="s">
        <v>5147</v>
      </c>
      <c r="F89" s="31" t="s">
        <v>190</v>
      </c>
      <c r="G89" s="31" t="s">
        <v>5148</v>
      </c>
      <c r="H89" s="31">
        <v>1716</v>
      </c>
      <c r="I89" s="31">
        <v>1785</v>
      </c>
      <c r="J89" t="s">
        <v>4650</v>
      </c>
      <c r="K89" t="s">
        <v>5850</v>
      </c>
    </row>
    <row r="90" spans="1:11" ht="15" thickBot="1" x14ac:dyDescent="0.35">
      <c r="A90" t="s">
        <v>2697</v>
      </c>
      <c r="B90" s="30" t="s">
        <v>4289</v>
      </c>
      <c r="C90" s="32" t="s">
        <v>3491</v>
      </c>
      <c r="D90" s="32" t="s">
        <v>3492</v>
      </c>
      <c r="E90" s="32" t="s">
        <v>3493</v>
      </c>
      <c r="F90" s="32" t="s">
        <v>3492</v>
      </c>
      <c r="G90" s="32" t="s">
        <v>5149</v>
      </c>
      <c r="H90" s="31">
        <v>1717</v>
      </c>
      <c r="I90" s="31">
        <v>1797</v>
      </c>
      <c r="J90" t="s">
        <v>5851</v>
      </c>
      <c r="K90" t="s">
        <v>5852</v>
      </c>
    </row>
    <row r="91" spans="1:11" ht="15" thickBot="1" x14ac:dyDescent="0.35">
      <c r="A91" t="s">
        <v>4290</v>
      </c>
      <c r="B91" s="29" t="s">
        <v>4291</v>
      </c>
      <c r="C91" s="31"/>
      <c r="D91" s="31" t="s">
        <v>297</v>
      </c>
      <c r="E91" s="31">
        <v>1725</v>
      </c>
      <c r="F91" s="31" t="s">
        <v>4779</v>
      </c>
      <c r="G91" s="31" t="s">
        <v>5150</v>
      </c>
      <c r="H91" s="31" t="s">
        <v>4982</v>
      </c>
      <c r="I91" s="31">
        <v>1725</v>
      </c>
      <c r="J91" t="s">
        <v>5853</v>
      </c>
      <c r="K91" t="s">
        <v>5854</v>
      </c>
    </row>
    <row r="92" spans="1:11" ht="15" thickBot="1" x14ac:dyDescent="0.35">
      <c r="A92" t="s">
        <v>4292</v>
      </c>
      <c r="B92" s="29" t="s">
        <v>4293</v>
      </c>
      <c r="C92" s="31" t="s">
        <v>5151</v>
      </c>
      <c r="D92" s="31" t="s">
        <v>5152</v>
      </c>
      <c r="E92" s="31" t="s">
        <v>5153</v>
      </c>
      <c r="F92" s="31" t="s">
        <v>4793</v>
      </c>
      <c r="G92" s="31" t="s">
        <v>5154</v>
      </c>
      <c r="H92" s="31">
        <v>1605</v>
      </c>
      <c r="I92" s="31">
        <v>1652</v>
      </c>
      <c r="J92" t="s">
        <v>5855</v>
      </c>
      <c r="K92" t="s">
        <v>4723</v>
      </c>
    </row>
    <row r="93" spans="1:11" ht="15" thickBot="1" x14ac:dyDescent="0.35">
      <c r="A93" t="s">
        <v>4294</v>
      </c>
      <c r="B93" s="29" t="s">
        <v>4295</v>
      </c>
      <c r="C93" s="31"/>
      <c r="D93" s="31"/>
      <c r="E93" s="31">
        <v>1676</v>
      </c>
      <c r="F93" s="31"/>
      <c r="G93" s="31" t="s">
        <v>5155</v>
      </c>
      <c r="H93" s="31" t="s">
        <v>4982</v>
      </c>
      <c r="I93" s="31">
        <v>1676</v>
      </c>
      <c r="J93" t="s">
        <v>5856</v>
      </c>
      <c r="K93" t="s">
        <v>5857</v>
      </c>
    </row>
    <row r="94" spans="1:11" ht="15" thickBot="1" x14ac:dyDescent="0.35">
      <c r="A94" t="s">
        <v>4296</v>
      </c>
      <c r="B94" s="29" t="s">
        <v>4297</v>
      </c>
      <c r="C94" s="31" t="s">
        <v>5156</v>
      </c>
      <c r="D94" s="31"/>
      <c r="E94" s="31"/>
      <c r="F94" s="31"/>
      <c r="G94" s="31" t="s">
        <v>5157</v>
      </c>
      <c r="H94" s="31">
        <v>1592</v>
      </c>
      <c r="I94" s="31" t="s">
        <v>4982</v>
      </c>
      <c r="J94" t="s">
        <v>5858</v>
      </c>
      <c r="K94" t="s">
        <v>5859</v>
      </c>
    </row>
    <row r="95" spans="1:11" ht="15" thickBot="1" x14ac:dyDescent="0.35">
      <c r="A95" t="s">
        <v>4298</v>
      </c>
      <c r="B95" s="29" t="s">
        <v>4299</v>
      </c>
      <c r="C95" s="31"/>
      <c r="D95" s="31"/>
      <c r="E95" s="31" t="s">
        <v>5158</v>
      </c>
      <c r="F95" s="31"/>
      <c r="G95" s="31" t="s">
        <v>5159</v>
      </c>
      <c r="H95" s="31" t="s">
        <v>4982</v>
      </c>
      <c r="I95" s="31">
        <v>1667</v>
      </c>
      <c r="J95" t="s">
        <v>5860</v>
      </c>
      <c r="K95" t="s">
        <v>5861</v>
      </c>
    </row>
    <row r="96" spans="1:11" ht="15" thickBot="1" x14ac:dyDescent="0.35">
      <c r="A96" t="s">
        <v>4300</v>
      </c>
      <c r="B96" s="29" t="s">
        <v>4301</v>
      </c>
      <c r="C96" s="31">
        <v>1617</v>
      </c>
      <c r="D96" s="31" t="s">
        <v>5160</v>
      </c>
      <c r="E96" s="31">
        <v>1672</v>
      </c>
      <c r="F96" s="31" t="s">
        <v>5162</v>
      </c>
      <c r="G96" s="31" t="s">
        <v>5161</v>
      </c>
      <c r="H96" s="31">
        <v>1617</v>
      </c>
      <c r="I96" s="31">
        <v>1672</v>
      </c>
      <c r="J96" t="s">
        <v>5862</v>
      </c>
      <c r="K96" t="s">
        <v>5863</v>
      </c>
    </row>
    <row r="97" spans="1:21" ht="15" thickBot="1" x14ac:dyDescent="0.35">
      <c r="A97" t="s">
        <v>4075</v>
      </c>
      <c r="B97" s="30" t="s">
        <v>4131</v>
      </c>
      <c r="C97" s="32" t="s">
        <v>5163</v>
      </c>
      <c r="D97" s="32" t="s">
        <v>5164</v>
      </c>
      <c r="E97" s="32" t="s">
        <v>5165</v>
      </c>
      <c r="F97" s="32" t="s">
        <v>4772</v>
      </c>
      <c r="G97" s="32" t="s">
        <v>5166</v>
      </c>
      <c r="H97" s="31">
        <v>1665</v>
      </c>
      <c r="I97" s="31">
        <v>1736</v>
      </c>
      <c r="J97" t="s">
        <v>4653</v>
      </c>
      <c r="K97" t="s">
        <v>5864</v>
      </c>
      <c r="U97" s="4"/>
    </row>
    <row r="98" spans="1:21" ht="15" thickBot="1" x14ac:dyDescent="0.35">
      <c r="A98" t="s">
        <v>4076</v>
      </c>
      <c r="B98" s="30" t="s">
        <v>4302</v>
      </c>
      <c r="C98" s="32">
        <v>1642</v>
      </c>
      <c r="D98" s="32" t="s">
        <v>297</v>
      </c>
      <c r="E98" s="32">
        <v>1717</v>
      </c>
      <c r="F98" s="32" t="s">
        <v>297</v>
      </c>
      <c r="G98" s="32" t="s">
        <v>5167</v>
      </c>
      <c r="H98" s="31">
        <v>1642</v>
      </c>
      <c r="I98" s="31">
        <v>1717</v>
      </c>
      <c r="J98" t="s">
        <v>4653</v>
      </c>
      <c r="K98" t="s">
        <v>5865</v>
      </c>
    </row>
    <row r="99" spans="1:21" ht="15" thickBot="1" x14ac:dyDescent="0.35">
      <c r="A99" t="s">
        <v>4077</v>
      </c>
      <c r="B99" s="30" t="s">
        <v>4132</v>
      </c>
      <c r="C99" s="32" t="s">
        <v>5168</v>
      </c>
      <c r="D99" s="32"/>
      <c r="E99" s="32" t="s">
        <v>5169</v>
      </c>
      <c r="F99" s="32" t="s">
        <v>5170</v>
      </c>
      <c r="G99" s="32" t="s">
        <v>5171</v>
      </c>
      <c r="H99" s="31">
        <v>1619</v>
      </c>
      <c r="I99" s="31">
        <v>1712</v>
      </c>
      <c r="J99" t="s">
        <v>4653</v>
      </c>
      <c r="K99" t="s">
        <v>5866</v>
      </c>
    </row>
    <row r="100" spans="1:21" ht="15" thickBot="1" x14ac:dyDescent="0.35">
      <c r="A100" t="s">
        <v>4303</v>
      </c>
      <c r="B100" s="29" t="s">
        <v>4304</v>
      </c>
      <c r="C100" s="31" t="s">
        <v>5172</v>
      </c>
      <c r="D100" s="31" t="s">
        <v>3101</v>
      </c>
      <c r="E100" s="31" t="s">
        <v>5173</v>
      </c>
      <c r="F100" s="31" t="s">
        <v>4855</v>
      </c>
      <c r="G100" s="31" t="s">
        <v>5174</v>
      </c>
      <c r="H100" s="31">
        <v>1687</v>
      </c>
      <c r="I100" s="31">
        <v>1771</v>
      </c>
      <c r="J100" t="s">
        <v>4653</v>
      </c>
      <c r="K100" t="s">
        <v>4760</v>
      </c>
    </row>
    <row r="101" spans="1:21" ht="15" thickBot="1" x14ac:dyDescent="0.35">
      <c r="A101" t="s">
        <v>2727</v>
      </c>
      <c r="B101" s="29" t="s">
        <v>4305</v>
      </c>
      <c r="C101" s="31" t="s">
        <v>5175</v>
      </c>
      <c r="D101" s="31" t="s">
        <v>3101</v>
      </c>
      <c r="E101" s="31" t="s">
        <v>5176</v>
      </c>
      <c r="F101" s="31"/>
      <c r="G101" s="31" t="s">
        <v>5177</v>
      </c>
      <c r="H101" s="31">
        <v>1705</v>
      </c>
      <c r="I101" s="31">
        <v>1782</v>
      </c>
      <c r="J101" t="s">
        <v>4653</v>
      </c>
      <c r="K101" t="s">
        <v>4666</v>
      </c>
    </row>
    <row r="102" spans="1:21" ht="15" thickBot="1" x14ac:dyDescent="0.35">
      <c r="A102" t="s">
        <v>4306</v>
      </c>
      <c r="B102" s="29" t="s">
        <v>4307</v>
      </c>
      <c r="C102" s="31" t="s">
        <v>5178</v>
      </c>
      <c r="D102" s="31" t="s">
        <v>297</v>
      </c>
      <c r="E102" s="31" t="s">
        <v>5179</v>
      </c>
      <c r="F102" s="31" t="s">
        <v>5180</v>
      </c>
      <c r="G102" s="31" t="s">
        <v>5181</v>
      </c>
      <c r="H102" s="31">
        <v>1584</v>
      </c>
      <c r="I102" s="31">
        <v>1621</v>
      </c>
      <c r="J102" t="s">
        <v>4653</v>
      </c>
      <c r="K102" t="s">
        <v>5867</v>
      </c>
    </row>
    <row r="103" spans="1:21" ht="15" thickBot="1" x14ac:dyDescent="0.35">
      <c r="A103" t="s">
        <v>4308</v>
      </c>
      <c r="B103" s="29" t="s">
        <v>4309</v>
      </c>
      <c r="C103" s="31" t="s">
        <v>5182</v>
      </c>
      <c r="D103" s="31" t="s">
        <v>5183</v>
      </c>
      <c r="E103" s="31" t="s">
        <v>5184</v>
      </c>
      <c r="F103" s="31" t="s">
        <v>4793</v>
      </c>
      <c r="G103" s="31" t="s">
        <v>5185</v>
      </c>
      <c r="H103" s="31">
        <v>1599</v>
      </c>
      <c r="I103" s="31">
        <v>1647</v>
      </c>
      <c r="J103" t="s">
        <v>4653</v>
      </c>
      <c r="K103" t="s">
        <v>5868</v>
      </c>
    </row>
    <row r="104" spans="1:21" ht="15" thickBot="1" x14ac:dyDescent="0.35">
      <c r="A104" t="s">
        <v>4310</v>
      </c>
      <c r="B104" s="29" t="s">
        <v>4311</v>
      </c>
      <c r="C104" s="31" t="s">
        <v>5186</v>
      </c>
      <c r="D104" s="31" t="s">
        <v>5187</v>
      </c>
      <c r="E104" s="31" t="s">
        <v>5188</v>
      </c>
      <c r="F104" s="31"/>
      <c r="G104" s="31" t="s">
        <v>5189</v>
      </c>
      <c r="H104" s="31">
        <v>1648</v>
      </c>
      <c r="I104" s="31">
        <v>1709</v>
      </c>
      <c r="J104" t="s">
        <v>4653</v>
      </c>
      <c r="K104" t="s">
        <v>5869</v>
      </c>
    </row>
    <row r="105" spans="1:21" ht="15" thickBot="1" x14ac:dyDescent="0.35">
      <c r="A105" t="s">
        <v>4312</v>
      </c>
      <c r="B105" s="29" t="s">
        <v>4313</v>
      </c>
      <c r="C105" s="31">
        <v>1625</v>
      </c>
      <c r="D105" s="31"/>
      <c r="E105" s="31" t="s">
        <v>5190</v>
      </c>
      <c r="F105" s="31" t="s">
        <v>4793</v>
      </c>
      <c r="G105" s="31" t="s">
        <v>5191</v>
      </c>
      <c r="H105" s="31">
        <v>1625</v>
      </c>
      <c r="I105" s="31">
        <v>1680</v>
      </c>
      <c r="J105" t="s">
        <v>4653</v>
      </c>
      <c r="K105" t="s">
        <v>5870</v>
      </c>
    </row>
    <row r="106" spans="1:21" ht="15" thickBot="1" x14ac:dyDescent="0.35">
      <c r="A106" t="s">
        <v>4314</v>
      </c>
      <c r="B106" s="29" t="s">
        <v>4315</v>
      </c>
      <c r="C106" s="31"/>
      <c r="D106" s="31" t="s">
        <v>5192</v>
      </c>
      <c r="E106" s="31" t="s">
        <v>5193</v>
      </c>
      <c r="F106" s="31" t="s">
        <v>4811</v>
      </c>
      <c r="G106" s="31" t="s">
        <v>5194</v>
      </c>
      <c r="H106" s="31" t="s">
        <v>4982</v>
      </c>
      <c r="I106" s="31">
        <v>1681</v>
      </c>
      <c r="J106" t="s">
        <v>4653</v>
      </c>
      <c r="K106" t="s">
        <v>5871</v>
      </c>
    </row>
    <row r="107" spans="1:21" ht="15" thickBot="1" x14ac:dyDescent="0.35">
      <c r="A107" t="s">
        <v>4316</v>
      </c>
      <c r="B107" s="29" t="s">
        <v>4317</v>
      </c>
      <c r="C107" s="31" t="s">
        <v>5195</v>
      </c>
      <c r="D107" s="31" t="s">
        <v>5196</v>
      </c>
      <c r="E107" s="31" t="s">
        <v>5197</v>
      </c>
      <c r="F107" s="31" t="s">
        <v>4793</v>
      </c>
      <c r="G107" s="31" t="s">
        <v>5198</v>
      </c>
      <c r="H107" s="31">
        <v>1624</v>
      </c>
      <c r="I107" s="31">
        <v>1705</v>
      </c>
      <c r="J107" t="s">
        <v>4653</v>
      </c>
      <c r="K107" t="s">
        <v>5872</v>
      </c>
    </row>
    <row r="108" spans="1:21" ht="15" thickBot="1" x14ac:dyDescent="0.35">
      <c r="A108" t="s">
        <v>4318</v>
      </c>
      <c r="B108" s="29" t="s">
        <v>4319</v>
      </c>
      <c r="C108" s="31" t="s">
        <v>5199</v>
      </c>
      <c r="D108" s="31" t="s">
        <v>297</v>
      </c>
      <c r="E108" s="31" t="s">
        <v>5200</v>
      </c>
      <c r="F108" s="31" t="s">
        <v>5201</v>
      </c>
      <c r="G108" s="31" t="s">
        <v>5202</v>
      </c>
      <c r="H108" s="31">
        <v>1600</v>
      </c>
      <c r="I108" s="31">
        <v>1664</v>
      </c>
      <c r="J108" t="s">
        <v>4653</v>
      </c>
      <c r="K108" t="s">
        <v>5873</v>
      </c>
    </row>
    <row r="109" spans="1:21" ht="15" thickBot="1" x14ac:dyDescent="0.35">
      <c r="A109" t="s">
        <v>4320</v>
      </c>
      <c r="B109" s="29" t="s">
        <v>4321</v>
      </c>
      <c r="C109" s="31" t="s">
        <v>5203</v>
      </c>
      <c r="D109" s="31" t="s">
        <v>5192</v>
      </c>
      <c r="E109" s="31"/>
      <c r="F109" s="31"/>
      <c r="G109" s="31" t="s">
        <v>5204</v>
      </c>
      <c r="H109" s="31">
        <v>1678</v>
      </c>
      <c r="I109" s="31" t="s">
        <v>4982</v>
      </c>
      <c r="J109" t="s">
        <v>4653</v>
      </c>
      <c r="K109" t="s">
        <v>5874</v>
      </c>
    </row>
    <row r="110" spans="1:21" ht="15" thickBot="1" x14ac:dyDescent="0.35">
      <c r="A110" t="s">
        <v>4322</v>
      </c>
      <c r="B110" s="29" t="s">
        <v>4323</v>
      </c>
      <c r="C110" s="31" t="s">
        <v>5205</v>
      </c>
      <c r="D110" s="31"/>
      <c r="E110" s="31">
        <v>1747</v>
      </c>
      <c r="F110" s="31" t="s">
        <v>4779</v>
      </c>
      <c r="G110" s="31" t="s">
        <v>5206</v>
      </c>
      <c r="H110" s="31">
        <v>1681</v>
      </c>
      <c r="I110" s="31">
        <v>1747</v>
      </c>
      <c r="J110" t="s">
        <v>4653</v>
      </c>
      <c r="K110" t="s">
        <v>4662</v>
      </c>
    </row>
    <row r="111" spans="1:21" ht="15" thickBot="1" x14ac:dyDescent="0.35">
      <c r="A111" t="s">
        <v>4324</v>
      </c>
      <c r="B111" s="29" t="s">
        <v>4325</v>
      </c>
      <c r="C111" s="31"/>
      <c r="D111" s="31" t="s">
        <v>3127</v>
      </c>
      <c r="E111" s="31"/>
      <c r="F111" s="31"/>
      <c r="G111" s="31" t="s">
        <v>5207</v>
      </c>
      <c r="H111" s="31" t="s">
        <v>4982</v>
      </c>
      <c r="I111" s="31" t="s">
        <v>4982</v>
      </c>
      <c r="J111" t="s">
        <v>4653</v>
      </c>
      <c r="K111" t="s">
        <v>5875</v>
      </c>
    </row>
    <row r="112" spans="1:21" ht="15" thickBot="1" x14ac:dyDescent="0.35">
      <c r="A112" t="s">
        <v>4326</v>
      </c>
      <c r="B112" s="29" t="s">
        <v>4327</v>
      </c>
      <c r="C112" s="31" t="s">
        <v>297</v>
      </c>
      <c r="D112" s="31"/>
      <c r="E112" s="31"/>
      <c r="F112" s="31" t="s">
        <v>5209</v>
      </c>
      <c r="G112" s="31" t="s">
        <v>5210</v>
      </c>
      <c r="H112" s="31" t="s">
        <v>5208</v>
      </c>
      <c r="I112" s="31" t="s">
        <v>4982</v>
      </c>
      <c r="J112" t="s">
        <v>4653</v>
      </c>
      <c r="K112" t="s">
        <v>5876</v>
      </c>
    </row>
    <row r="113" spans="1:11" ht="15" thickBot="1" x14ac:dyDescent="0.35">
      <c r="A113" t="s">
        <v>4326</v>
      </c>
      <c r="B113" s="29" t="s">
        <v>4328</v>
      </c>
      <c r="C113" s="31"/>
      <c r="D113" s="31"/>
      <c r="E113" s="31">
        <v>1646</v>
      </c>
      <c r="F113" s="31"/>
      <c r="G113" s="31" t="s">
        <v>5211</v>
      </c>
      <c r="H113" s="31" t="s">
        <v>4982</v>
      </c>
      <c r="I113" s="31">
        <v>1646</v>
      </c>
      <c r="J113" t="s">
        <v>4653</v>
      </c>
      <c r="K113" t="s">
        <v>5876</v>
      </c>
    </row>
    <row r="114" spans="1:11" ht="15" thickBot="1" x14ac:dyDescent="0.35">
      <c r="A114" t="s">
        <v>4329</v>
      </c>
      <c r="B114" s="29" t="s">
        <v>4330</v>
      </c>
      <c r="C114" s="31" t="s">
        <v>5212</v>
      </c>
      <c r="D114" s="31" t="s">
        <v>5213</v>
      </c>
      <c r="E114" s="31" t="s">
        <v>5214</v>
      </c>
      <c r="F114" s="31" t="s">
        <v>4951</v>
      </c>
      <c r="G114" s="31" t="s">
        <v>5215</v>
      </c>
      <c r="H114" s="31">
        <v>1594</v>
      </c>
      <c r="I114" s="31">
        <v>1653</v>
      </c>
      <c r="J114" t="s">
        <v>4653</v>
      </c>
      <c r="K114" t="s">
        <v>5877</v>
      </c>
    </row>
    <row r="115" spans="1:11" ht="15" thickBot="1" x14ac:dyDescent="0.35">
      <c r="A115" t="s">
        <v>4331</v>
      </c>
      <c r="B115" s="29" t="s">
        <v>4332</v>
      </c>
      <c r="C115" s="31"/>
      <c r="D115" s="31" t="s">
        <v>297</v>
      </c>
      <c r="E115" s="31" t="s">
        <v>5216</v>
      </c>
      <c r="F115" s="31" t="s">
        <v>3909</v>
      </c>
      <c r="G115" s="31" t="s">
        <v>5217</v>
      </c>
      <c r="H115" s="31" t="s">
        <v>4982</v>
      </c>
      <c r="I115" s="31">
        <v>1681</v>
      </c>
      <c r="J115" t="s">
        <v>4653</v>
      </c>
      <c r="K115" t="s">
        <v>5878</v>
      </c>
    </row>
    <row r="116" spans="1:11" ht="15" thickBot="1" x14ac:dyDescent="0.35">
      <c r="A116" t="s">
        <v>4333</v>
      </c>
      <c r="B116" s="29" t="s">
        <v>4334</v>
      </c>
      <c r="C116" s="31" t="s">
        <v>5218</v>
      </c>
      <c r="D116" s="31" t="s">
        <v>5219</v>
      </c>
      <c r="E116" s="31" t="s">
        <v>5220</v>
      </c>
      <c r="F116" s="31" t="s">
        <v>5221</v>
      </c>
      <c r="G116" s="31" t="s">
        <v>5222</v>
      </c>
      <c r="H116" s="31">
        <v>1616</v>
      </c>
      <c r="I116" s="31">
        <v>1679</v>
      </c>
      <c r="J116" t="s">
        <v>4653</v>
      </c>
      <c r="K116" t="s">
        <v>5879</v>
      </c>
    </row>
    <row r="117" spans="1:11" ht="15" thickBot="1" x14ac:dyDescent="0.35">
      <c r="A117" t="s">
        <v>4335</v>
      </c>
      <c r="B117" s="29" t="s">
        <v>4336</v>
      </c>
      <c r="C117" s="31">
        <v>1672</v>
      </c>
      <c r="D117" s="31" t="s">
        <v>297</v>
      </c>
      <c r="E117" s="31" t="s">
        <v>5223</v>
      </c>
      <c r="F117" s="31" t="s">
        <v>5120</v>
      </c>
      <c r="G117" s="31" t="s">
        <v>5224</v>
      </c>
      <c r="H117" s="31">
        <v>1672</v>
      </c>
      <c r="I117" s="31">
        <v>1709</v>
      </c>
      <c r="J117" t="s">
        <v>4653</v>
      </c>
      <c r="K117" t="s">
        <v>4715</v>
      </c>
    </row>
    <row r="118" spans="1:11" ht="15" thickBot="1" x14ac:dyDescent="0.35">
      <c r="A118" t="s">
        <v>4337</v>
      </c>
      <c r="B118" s="29" t="s">
        <v>4124</v>
      </c>
      <c r="C118" s="31"/>
      <c r="D118" s="31"/>
      <c r="E118" s="31" t="s">
        <v>5225</v>
      </c>
      <c r="F118" s="31" t="s">
        <v>5120</v>
      </c>
      <c r="G118" s="31" t="s">
        <v>5226</v>
      </c>
      <c r="H118" s="31" t="s">
        <v>4982</v>
      </c>
      <c r="I118" s="31">
        <v>1731</v>
      </c>
      <c r="J118" t="s">
        <v>4653</v>
      </c>
      <c r="K118" t="s">
        <v>5880</v>
      </c>
    </row>
    <row r="119" spans="1:11" ht="15" thickBot="1" x14ac:dyDescent="0.35">
      <c r="A119" t="s">
        <v>4338</v>
      </c>
      <c r="B119" s="29" t="s">
        <v>4339</v>
      </c>
      <c r="C119" s="31">
        <v>1730</v>
      </c>
      <c r="D119" s="31" t="s">
        <v>5227</v>
      </c>
      <c r="E119" s="31" t="s">
        <v>5228</v>
      </c>
      <c r="F119" s="31" t="s">
        <v>5229</v>
      </c>
      <c r="G119" s="31" t="s">
        <v>5230</v>
      </c>
      <c r="H119" s="31">
        <v>1730</v>
      </c>
      <c r="I119" s="31">
        <v>1809</v>
      </c>
      <c r="J119" t="s">
        <v>4653</v>
      </c>
      <c r="K119" t="s">
        <v>5881</v>
      </c>
    </row>
    <row r="120" spans="1:11" ht="15" thickBot="1" x14ac:dyDescent="0.35">
      <c r="A120" t="s">
        <v>4340</v>
      </c>
      <c r="B120" s="29" t="s">
        <v>4341</v>
      </c>
      <c r="C120" s="31">
        <v>1634</v>
      </c>
      <c r="D120" s="31"/>
      <c r="E120" s="31">
        <v>1716</v>
      </c>
      <c r="F120" s="31"/>
      <c r="G120" s="31" t="s">
        <v>5231</v>
      </c>
      <c r="H120" s="31">
        <v>1634</v>
      </c>
      <c r="I120" s="31">
        <v>1716</v>
      </c>
      <c r="J120" t="s">
        <v>4653</v>
      </c>
      <c r="K120" t="s">
        <v>5882</v>
      </c>
    </row>
    <row r="121" spans="1:11" ht="15" thickBot="1" x14ac:dyDescent="0.35">
      <c r="A121" t="s">
        <v>4342</v>
      </c>
      <c r="B121" s="29" t="s">
        <v>4343</v>
      </c>
      <c r="C121" s="31" t="s">
        <v>5232</v>
      </c>
      <c r="D121" s="31" t="s">
        <v>3832</v>
      </c>
      <c r="E121" s="31" t="s">
        <v>5233</v>
      </c>
      <c r="F121" s="31" t="s">
        <v>5234</v>
      </c>
      <c r="G121" s="31" t="s">
        <v>5235</v>
      </c>
      <c r="H121" s="31">
        <v>1700</v>
      </c>
      <c r="I121" s="31">
        <v>1746</v>
      </c>
      <c r="J121" t="s">
        <v>4653</v>
      </c>
      <c r="K121" t="s">
        <v>5883</v>
      </c>
    </row>
    <row r="122" spans="1:11" ht="15" thickBot="1" x14ac:dyDescent="0.35">
      <c r="A122" t="s">
        <v>4342</v>
      </c>
      <c r="B122" s="29" t="s">
        <v>4344</v>
      </c>
      <c r="C122" s="31" t="s">
        <v>5236</v>
      </c>
      <c r="D122" s="31" t="s">
        <v>190</v>
      </c>
      <c r="E122" s="31" t="s">
        <v>5237</v>
      </c>
      <c r="F122" s="31" t="s">
        <v>5238</v>
      </c>
      <c r="G122" s="31" t="s">
        <v>5239</v>
      </c>
      <c r="H122" s="31">
        <v>1729</v>
      </c>
      <c r="I122" s="31">
        <v>1795</v>
      </c>
      <c r="J122" t="s">
        <v>4653</v>
      </c>
      <c r="K122" t="s">
        <v>5883</v>
      </c>
    </row>
    <row r="123" spans="1:11" ht="15" thickBot="1" x14ac:dyDescent="0.35">
      <c r="A123" t="s">
        <v>4342</v>
      </c>
      <c r="B123" s="29" t="s">
        <v>4345</v>
      </c>
      <c r="C123" s="31" t="s">
        <v>5240</v>
      </c>
      <c r="D123" s="31" t="s">
        <v>190</v>
      </c>
      <c r="E123" s="31" t="s">
        <v>5241</v>
      </c>
      <c r="F123" s="31" t="s">
        <v>5242</v>
      </c>
      <c r="G123" s="31" t="s">
        <v>5243</v>
      </c>
      <c r="H123" s="31">
        <v>1760</v>
      </c>
      <c r="I123" s="31">
        <v>1834</v>
      </c>
      <c r="J123" t="s">
        <v>4653</v>
      </c>
      <c r="K123" t="s">
        <v>5883</v>
      </c>
    </row>
    <row r="124" spans="1:11" ht="15" thickBot="1" x14ac:dyDescent="0.35">
      <c r="A124" t="s">
        <v>4078</v>
      </c>
      <c r="B124" s="30" t="s">
        <v>4346</v>
      </c>
      <c r="C124" s="32"/>
      <c r="D124" s="32"/>
      <c r="E124" s="32" t="s">
        <v>5244</v>
      </c>
      <c r="F124" s="32"/>
      <c r="G124" s="32" t="s">
        <v>5245</v>
      </c>
      <c r="H124" s="31" t="s">
        <v>4982</v>
      </c>
      <c r="I124" s="31">
        <v>1651</v>
      </c>
      <c r="J124" t="s">
        <v>4653</v>
      </c>
      <c r="K124" t="s">
        <v>5884</v>
      </c>
    </row>
    <row r="125" spans="1:11" ht="15" thickBot="1" x14ac:dyDescent="0.35">
      <c r="A125" t="s">
        <v>4079</v>
      </c>
      <c r="B125" s="30" t="s">
        <v>4347</v>
      </c>
      <c r="C125" s="32" t="s">
        <v>5246</v>
      </c>
      <c r="D125" s="32" t="s">
        <v>5249</v>
      </c>
      <c r="E125" s="32" t="s">
        <v>5248</v>
      </c>
      <c r="F125" s="32"/>
      <c r="G125" s="32" t="s">
        <v>5250</v>
      </c>
      <c r="H125" s="31" t="s">
        <v>5247</v>
      </c>
      <c r="I125" s="31">
        <v>1609</v>
      </c>
      <c r="J125" t="s">
        <v>4653</v>
      </c>
      <c r="K125" t="s">
        <v>5885</v>
      </c>
    </row>
    <row r="126" spans="1:11" ht="15" thickBot="1" x14ac:dyDescent="0.35">
      <c r="A126" t="s">
        <v>4080</v>
      </c>
      <c r="B126" s="29" t="s">
        <v>4133</v>
      </c>
      <c r="C126" s="31" t="s">
        <v>5251</v>
      </c>
      <c r="D126" s="31" t="s">
        <v>5252</v>
      </c>
      <c r="E126" s="31" t="s">
        <v>5253</v>
      </c>
      <c r="F126" s="31"/>
      <c r="G126" s="31" t="s">
        <v>5254</v>
      </c>
      <c r="H126" s="31">
        <v>1686</v>
      </c>
      <c r="I126" s="31">
        <v>1767</v>
      </c>
      <c r="J126" t="s">
        <v>4653</v>
      </c>
      <c r="K126" t="s">
        <v>5886</v>
      </c>
    </row>
    <row r="127" spans="1:11" ht="15" thickBot="1" x14ac:dyDescent="0.35">
      <c r="A127" t="s">
        <v>4348</v>
      </c>
      <c r="B127" s="29" t="s">
        <v>4349</v>
      </c>
      <c r="C127" s="31">
        <v>1713</v>
      </c>
      <c r="D127" s="31" t="s">
        <v>297</v>
      </c>
      <c r="E127" s="31" t="s">
        <v>5255</v>
      </c>
      <c r="F127" s="31" t="s">
        <v>190</v>
      </c>
      <c r="G127" s="31" t="s">
        <v>5256</v>
      </c>
      <c r="H127" s="31">
        <v>1713</v>
      </c>
      <c r="I127" s="31">
        <v>1788</v>
      </c>
      <c r="J127" t="s">
        <v>4653</v>
      </c>
      <c r="K127" t="s">
        <v>5887</v>
      </c>
    </row>
    <row r="128" spans="1:11" ht="15" thickBot="1" x14ac:dyDescent="0.35">
      <c r="A128" t="s">
        <v>4350</v>
      </c>
      <c r="B128" s="29" t="s">
        <v>4351</v>
      </c>
      <c r="C128" s="31" t="s">
        <v>5257</v>
      </c>
      <c r="D128" s="31" t="s">
        <v>5258</v>
      </c>
      <c r="E128" s="31" t="s">
        <v>5259</v>
      </c>
      <c r="F128" s="31" t="s">
        <v>5260</v>
      </c>
      <c r="G128" s="31" t="s">
        <v>5261</v>
      </c>
      <c r="H128" s="31">
        <v>1683</v>
      </c>
      <c r="I128" s="31">
        <v>1749</v>
      </c>
      <c r="J128" t="s">
        <v>4653</v>
      </c>
      <c r="K128" t="s">
        <v>4679</v>
      </c>
    </row>
    <row r="129" spans="1:11" ht="15" thickBot="1" x14ac:dyDescent="0.35">
      <c r="A129" t="s">
        <v>4352</v>
      </c>
      <c r="B129" s="29" t="s">
        <v>4353</v>
      </c>
      <c r="C129" s="31" t="s">
        <v>5262</v>
      </c>
      <c r="D129" s="31" t="s">
        <v>4815</v>
      </c>
      <c r="E129" s="31" t="s">
        <v>5263</v>
      </c>
      <c r="F129" s="31" t="s">
        <v>224</v>
      </c>
      <c r="G129" s="31" t="s">
        <v>5264</v>
      </c>
      <c r="H129" s="31">
        <v>1705</v>
      </c>
      <c r="I129" s="31">
        <v>1766</v>
      </c>
      <c r="J129" t="s">
        <v>4653</v>
      </c>
      <c r="K129" t="s">
        <v>4679</v>
      </c>
    </row>
    <row r="130" spans="1:11" ht="15" thickBot="1" x14ac:dyDescent="0.35">
      <c r="A130" t="s">
        <v>4354</v>
      </c>
      <c r="B130" s="29" t="s">
        <v>4355</v>
      </c>
      <c r="C130" s="31" t="s">
        <v>5265</v>
      </c>
      <c r="D130" s="31"/>
      <c r="E130" s="31">
        <v>1653</v>
      </c>
      <c r="F130" s="31" t="s">
        <v>5266</v>
      </c>
      <c r="G130" s="31" t="s">
        <v>5267</v>
      </c>
      <c r="H130" s="31">
        <v>1605</v>
      </c>
      <c r="I130" s="31">
        <v>1653</v>
      </c>
      <c r="J130" t="s">
        <v>4653</v>
      </c>
      <c r="K130" t="s">
        <v>5888</v>
      </c>
    </row>
    <row r="131" spans="1:11" ht="15" thickBot="1" x14ac:dyDescent="0.35">
      <c r="A131" t="s">
        <v>4356</v>
      </c>
      <c r="B131" s="29" t="s">
        <v>4357</v>
      </c>
      <c r="C131" s="31">
        <v>1649</v>
      </c>
      <c r="D131" s="31" t="s">
        <v>5268</v>
      </c>
      <c r="E131" s="31" t="s">
        <v>5269</v>
      </c>
      <c r="F131" s="31" t="s">
        <v>5270</v>
      </c>
      <c r="G131" s="31" t="s">
        <v>5271</v>
      </c>
      <c r="H131" s="31">
        <v>1649</v>
      </c>
      <c r="I131" s="31">
        <v>1709</v>
      </c>
      <c r="J131" t="s">
        <v>4653</v>
      </c>
      <c r="K131" t="s">
        <v>5889</v>
      </c>
    </row>
    <row r="132" spans="1:11" ht="15" thickBot="1" x14ac:dyDescent="0.35">
      <c r="A132" t="s">
        <v>4081</v>
      </c>
      <c r="B132" s="30" t="s">
        <v>4358</v>
      </c>
      <c r="C132" s="32" t="s">
        <v>5272</v>
      </c>
      <c r="D132" s="32" t="s">
        <v>5273</v>
      </c>
      <c r="E132" s="32" t="s">
        <v>5274</v>
      </c>
      <c r="F132" s="32" t="s">
        <v>190</v>
      </c>
      <c r="G132" s="32" t="s">
        <v>5275</v>
      </c>
      <c r="H132" s="31">
        <v>1580</v>
      </c>
      <c r="I132" s="31">
        <v>1631</v>
      </c>
      <c r="J132" t="s">
        <v>4653</v>
      </c>
      <c r="K132" t="s">
        <v>5890</v>
      </c>
    </row>
    <row r="133" spans="1:11" ht="15" thickBot="1" x14ac:dyDescent="0.35">
      <c r="A133" t="s">
        <v>4081</v>
      </c>
      <c r="B133" s="29" t="s">
        <v>4359</v>
      </c>
      <c r="C133" s="31"/>
      <c r="D133" s="31"/>
      <c r="E133" s="31" t="s">
        <v>5276</v>
      </c>
      <c r="F133" s="31" t="s">
        <v>406</v>
      </c>
      <c r="G133" s="31" t="s">
        <v>5277</v>
      </c>
      <c r="H133" s="31" t="s">
        <v>4982</v>
      </c>
      <c r="I133" s="31">
        <v>1663</v>
      </c>
      <c r="J133" t="s">
        <v>4653</v>
      </c>
      <c r="K133" t="s">
        <v>5890</v>
      </c>
    </row>
    <row r="134" spans="1:11" ht="15" thickBot="1" x14ac:dyDescent="0.35">
      <c r="A134" t="s">
        <v>4360</v>
      </c>
      <c r="B134" s="29" t="s">
        <v>4361</v>
      </c>
      <c r="C134" s="31" t="s">
        <v>5278</v>
      </c>
      <c r="D134" s="31" t="s">
        <v>5279</v>
      </c>
      <c r="E134" s="31" t="s">
        <v>5280</v>
      </c>
      <c r="F134" s="31" t="s">
        <v>4793</v>
      </c>
      <c r="G134" s="31" t="s">
        <v>5281</v>
      </c>
      <c r="H134" s="31">
        <v>1672</v>
      </c>
      <c r="I134" s="31">
        <v>1740</v>
      </c>
      <c r="J134" t="s">
        <v>4653</v>
      </c>
      <c r="K134" t="s">
        <v>4735</v>
      </c>
    </row>
    <row r="135" spans="1:11" ht="15" thickBot="1" x14ac:dyDescent="0.35">
      <c r="A135" t="s">
        <v>4362</v>
      </c>
      <c r="B135" s="29" t="s">
        <v>4363</v>
      </c>
      <c r="C135" s="31" t="s">
        <v>5282</v>
      </c>
      <c r="D135" s="31" t="s">
        <v>5283</v>
      </c>
      <c r="E135" s="31" t="s">
        <v>5284</v>
      </c>
      <c r="F135" s="31" t="s">
        <v>5285</v>
      </c>
      <c r="G135" s="31" t="s">
        <v>5286</v>
      </c>
      <c r="H135" s="31">
        <v>1590</v>
      </c>
      <c r="I135" s="31">
        <v>1661</v>
      </c>
      <c r="J135" t="s">
        <v>4653</v>
      </c>
      <c r="K135" t="s">
        <v>5891</v>
      </c>
    </row>
    <row r="136" spans="1:11" ht="15" thickBot="1" x14ac:dyDescent="0.35">
      <c r="A136" t="s">
        <v>4364</v>
      </c>
      <c r="B136" s="29" t="s">
        <v>4365</v>
      </c>
      <c r="C136" s="31" t="s">
        <v>5287</v>
      </c>
      <c r="D136" s="31" t="s">
        <v>4811</v>
      </c>
      <c r="E136" s="31"/>
      <c r="F136" s="31" t="s">
        <v>5288</v>
      </c>
      <c r="G136" s="31" t="s">
        <v>5289</v>
      </c>
      <c r="H136" s="31">
        <v>1737</v>
      </c>
      <c r="I136" s="31" t="s">
        <v>4982</v>
      </c>
      <c r="J136" t="s">
        <v>4653</v>
      </c>
      <c r="K136" t="s">
        <v>4677</v>
      </c>
    </row>
    <row r="137" spans="1:11" ht="15" thickBot="1" x14ac:dyDescent="0.35">
      <c r="A137" t="s">
        <v>4082</v>
      </c>
      <c r="B137" s="30" t="s">
        <v>4366</v>
      </c>
      <c r="C137" s="32" t="s">
        <v>5290</v>
      </c>
      <c r="D137" s="32" t="s">
        <v>5291</v>
      </c>
      <c r="E137" s="32" t="s">
        <v>5292</v>
      </c>
      <c r="F137" s="32"/>
      <c r="G137" s="32" t="s">
        <v>5293</v>
      </c>
      <c r="H137" s="31">
        <v>1590</v>
      </c>
      <c r="I137" s="31">
        <v>1659</v>
      </c>
      <c r="J137" t="s">
        <v>4653</v>
      </c>
      <c r="K137" t="s">
        <v>4719</v>
      </c>
    </row>
    <row r="138" spans="1:11" ht="15" thickBot="1" x14ac:dyDescent="0.35">
      <c r="A138" t="s">
        <v>4082</v>
      </c>
      <c r="B138" s="29" t="s">
        <v>4367</v>
      </c>
      <c r="C138" s="31" t="s">
        <v>5294</v>
      </c>
      <c r="D138" s="31"/>
      <c r="E138" s="31" t="s">
        <v>5295</v>
      </c>
      <c r="F138" s="31"/>
      <c r="G138" s="31" t="s">
        <v>5296</v>
      </c>
      <c r="H138" s="31">
        <v>1693</v>
      </c>
      <c r="I138" s="31">
        <v>1766</v>
      </c>
      <c r="J138" t="s">
        <v>4653</v>
      </c>
      <c r="K138" t="s">
        <v>4719</v>
      </c>
    </row>
    <row r="139" spans="1:11" ht="15" thickBot="1" x14ac:dyDescent="0.35">
      <c r="A139" t="s">
        <v>4368</v>
      </c>
      <c r="B139" s="29" t="s">
        <v>4369</v>
      </c>
      <c r="C139" s="31" t="s">
        <v>5297</v>
      </c>
      <c r="D139" s="31"/>
      <c r="E139" s="31">
        <v>1593</v>
      </c>
      <c r="F139" s="31"/>
      <c r="G139" s="31" t="s">
        <v>5298</v>
      </c>
      <c r="H139" s="31">
        <v>1539</v>
      </c>
      <c r="I139" s="31">
        <v>1593</v>
      </c>
      <c r="J139" t="s">
        <v>4653</v>
      </c>
      <c r="K139" t="s">
        <v>5892</v>
      </c>
    </row>
    <row r="140" spans="1:11" ht="15" thickBot="1" x14ac:dyDescent="0.35">
      <c r="A140" t="s">
        <v>4370</v>
      </c>
      <c r="B140" s="29" t="s">
        <v>4371</v>
      </c>
      <c r="C140" s="31" t="s">
        <v>5299</v>
      </c>
      <c r="D140" s="31" t="s">
        <v>5300</v>
      </c>
      <c r="E140" s="31" t="s">
        <v>5301</v>
      </c>
      <c r="F140" s="31" t="s">
        <v>5201</v>
      </c>
      <c r="G140" s="31" t="s">
        <v>5302</v>
      </c>
      <c r="H140" s="31">
        <v>1587</v>
      </c>
      <c r="I140" s="31">
        <v>1649</v>
      </c>
      <c r="J140" t="s">
        <v>4653</v>
      </c>
      <c r="K140" t="s">
        <v>4711</v>
      </c>
    </row>
    <row r="141" spans="1:11" ht="15" thickBot="1" x14ac:dyDescent="0.35">
      <c r="A141" t="s">
        <v>4373</v>
      </c>
      <c r="B141" s="29" t="s">
        <v>4372</v>
      </c>
      <c r="C141" s="31" t="s">
        <v>5303</v>
      </c>
      <c r="D141" s="31" t="s">
        <v>5304</v>
      </c>
      <c r="E141" s="31" t="s">
        <v>5305</v>
      </c>
      <c r="F141" s="31" t="s">
        <v>5201</v>
      </c>
      <c r="G141" s="31" t="s">
        <v>5306</v>
      </c>
      <c r="H141" s="31">
        <v>1606</v>
      </c>
      <c r="I141" s="31">
        <v>1676</v>
      </c>
      <c r="J141" t="s">
        <v>4653</v>
      </c>
      <c r="K141" t="s">
        <v>4711</v>
      </c>
    </row>
    <row r="142" spans="1:11" ht="15" thickBot="1" x14ac:dyDescent="0.35">
      <c r="A142" t="s">
        <v>4083</v>
      </c>
      <c r="B142" s="30" t="s">
        <v>4374</v>
      </c>
      <c r="C142" s="32" t="s">
        <v>5307</v>
      </c>
      <c r="D142" s="32" t="s">
        <v>5308</v>
      </c>
      <c r="E142" s="32" t="s">
        <v>5309</v>
      </c>
      <c r="F142" s="32" t="s">
        <v>5310</v>
      </c>
      <c r="G142" s="32" t="s">
        <v>5311</v>
      </c>
      <c r="H142" s="31">
        <v>1611</v>
      </c>
      <c r="I142" s="31">
        <v>1674</v>
      </c>
      <c r="J142" t="s">
        <v>4653</v>
      </c>
      <c r="K142" t="s">
        <v>5893</v>
      </c>
    </row>
    <row r="143" spans="1:11" ht="15" thickBot="1" x14ac:dyDescent="0.35">
      <c r="A143" t="s">
        <v>4084</v>
      </c>
      <c r="B143" s="29" t="s">
        <v>4134</v>
      </c>
      <c r="C143" s="31" t="s">
        <v>5312</v>
      </c>
      <c r="D143" s="31" t="s">
        <v>5313</v>
      </c>
      <c r="E143" s="31" t="s">
        <v>5314</v>
      </c>
      <c r="F143" s="31" t="s">
        <v>5315</v>
      </c>
      <c r="G143" s="31" t="s">
        <v>5316</v>
      </c>
      <c r="H143" s="31">
        <v>1682</v>
      </c>
      <c r="I143" s="31">
        <v>1757</v>
      </c>
      <c r="J143" t="s">
        <v>5894</v>
      </c>
      <c r="K143" t="s">
        <v>5895</v>
      </c>
    </row>
    <row r="144" spans="1:11" ht="15" thickBot="1" x14ac:dyDescent="0.35">
      <c r="A144" t="s">
        <v>4375</v>
      </c>
      <c r="B144" s="29" t="s">
        <v>4376</v>
      </c>
      <c r="C144" s="31" t="s">
        <v>5317</v>
      </c>
      <c r="D144" s="31" t="s">
        <v>5318</v>
      </c>
      <c r="E144" s="31"/>
      <c r="F144" s="31"/>
      <c r="G144" s="31" t="s">
        <v>5319</v>
      </c>
      <c r="H144" s="31">
        <v>1674</v>
      </c>
      <c r="I144" s="31" t="s">
        <v>4982</v>
      </c>
      <c r="J144" t="s">
        <v>5894</v>
      </c>
      <c r="K144" t="s">
        <v>5896</v>
      </c>
    </row>
    <row r="145" spans="1:11" ht="15" thickBot="1" x14ac:dyDescent="0.35">
      <c r="A145" t="s">
        <v>4377</v>
      </c>
      <c r="B145" s="29" t="s">
        <v>4378</v>
      </c>
      <c r="C145" s="31" t="s">
        <v>5320</v>
      </c>
      <c r="D145" s="31" t="s">
        <v>5321</v>
      </c>
      <c r="E145" s="31" t="s">
        <v>5322</v>
      </c>
      <c r="F145" s="31"/>
      <c r="G145" s="31" t="s">
        <v>5323</v>
      </c>
      <c r="H145" s="31">
        <v>1710</v>
      </c>
      <c r="I145" s="31">
        <v>1785</v>
      </c>
      <c r="J145" t="s">
        <v>5894</v>
      </c>
      <c r="K145" t="s">
        <v>5897</v>
      </c>
    </row>
    <row r="146" spans="1:11" ht="15" thickBot="1" x14ac:dyDescent="0.35">
      <c r="A146" t="s">
        <v>4085</v>
      </c>
      <c r="B146" s="30" t="s">
        <v>4379</v>
      </c>
      <c r="C146" s="32"/>
      <c r="D146" s="32" t="s">
        <v>297</v>
      </c>
      <c r="E146" s="32" t="s">
        <v>5324</v>
      </c>
      <c r="F146" s="32"/>
      <c r="G146" s="32" t="s">
        <v>5325</v>
      </c>
      <c r="H146" s="31" t="s">
        <v>4982</v>
      </c>
      <c r="I146" s="31">
        <v>1700</v>
      </c>
      <c r="J146" t="s">
        <v>5898</v>
      </c>
      <c r="K146" t="s">
        <v>5899</v>
      </c>
    </row>
    <row r="147" spans="1:11" ht="15" thickBot="1" x14ac:dyDescent="0.35">
      <c r="A147" t="s">
        <v>4380</v>
      </c>
      <c r="B147" s="29" t="s">
        <v>4381</v>
      </c>
      <c r="C147" s="31" t="s">
        <v>5326</v>
      </c>
      <c r="D147" s="31" t="s">
        <v>5327</v>
      </c>
      <c r="E147" s="31" t="s">
        <v>5328</v>
      </c>
      <c r="F147" s="31" t="s">
        <v>3617</v>
      </c>
      <c r="G147" s="31" t="s">
        <v>5329</v>
      </c>
      <c r="H147" s="31">
        <v>1647</v>
      </c>
      <c r="I147" s="31">
        <v>1720</v>
      </c>
      <c r="J147" t="s">
        <v>5898</v>
      </c>
      <c r="K147" t="s">
        <v>5900</v>
      </c>
    </row>
    <row r="148" spans="1:11" ht="15" thickBot="1" x14ac:dyDescent="0.35">
      <c r="A148" t="s">
        <v>4382</v>
      </c>
      <c r="B148" s="29" t="s">
        <v>4383</v>
      </c>
      <c r="C148" s="31">
        <v>1656</v>
      </c>
      <c r="D148" s="31"/>
      <c r="E148" s="31" t="s">
        <v>5330</v>
      </c>
      <c r="F148" s="31" t="s">
        <v>3295</v>
      </c>
      <c r="G148" s="31" t="s">
        <v>5331</v>
      </c>
      <c r="H148" s="31">
        <v>1656</v>
      </c>
      <c r="I148" s="31">
        <v>1740</v>
      </c>
      <c r="J148" t="s">
        <v>5898</v>
      </c>
      <c r="K148" t="s">
        <v>5901</v>
      </c>
    </row>
    <row r="149" spans="1:11" ht="15" thickBot="1" x14ac:dyDescent="0.35">
      <c r="A149" t="s">
        <v>4086</v>
      </c>
      <c r="B149" s="30" t="s">
        <v>4384</v>
      </c>
      <c r="C149" s="32"/>
      <c r="D149" s="32"/>
      <c r="E149" s="32" t="s">
        <v>5332</v>
      </c>
      <c r="F149" s="32"/>
      <c r="G149" s="32" t="s">
        <v>5333</v>
      </c>
      <c r="H149" s="31" t="s">
        <v>4982</v>
      </c>
      <c r="I149" s="31">
        <v>1721</v>
      </c>
      <c r="J149" t="s">
        <v>5898</v>
      </c>
      <c r="K149" t="s">
        <v>5902</v>
      </c>
    </row>
    <row r="150" spans="1:11" ht="15" thickBot="1" x14ac:dyDescent="0.35">
      <c r="A150" t="s">
        <v>4385</v>
      </c>
      <c r="B150" s="29" t="s">
        <v>4386</v>
      </c>
      <c r="C150" s="31" t="s">
        <v>5334</v>
      </c>
      <c r="D150" s="31" t="s">
        <v>4951</v>
      </c>
      <c r="E150" s="31" t="s">
        <v>5335</v>
      </c>
      <c r="F150" s="31" t="s">
        <v>4951</v>
      </c>
      <c r="G150" s="31" t="s">
        <v>5336</v>
      </c>
      <c r="H150" s="31">
        <v>1669</v>
      </c>
      <c r="I150" s="31">
        <v>1741</v>
      </c>
      <c r="J150" t="s">
        <v>5898</v>
      </c>
      <c r="K150" t="s">
        <v>5903</v>
      </c>
    </row>
    <row r="151" spans="1:11" ht="15" thickBot="1" x14ac:dyDescent="0.35">
      <c r="A151" t="s">
        <v>4387</v>
      </c>
      <c r="B151" s="29" t="s">
        <v>4388</v>
      </c>
      <c r="C151" s="31" t="s">
        <v>5337</v>
      </c>
      <c r="D151" s="31" t="s">
        <v>4793</v>
      </c>
      <c r="E151" s="31" t="s">
        <v>5338</v>
      </c>
      <c r="F151" s="31"/>
      <c r="G151" s="31" t="s">
        <v>5339</v>
      </c>
      <c r="H151" s="31">
        <v>1705</v>
      </c>
      <c r="I151" s="31">
        <v>1780</v>
      </c>
      <c r="J151" t="s">
        <v>5898</v>
      </c>
      <c r="K151" t="s">
        <v>4735</v>
      </c>
    </row>
    <row r="152" spans="1:11" ht="15" thickBot="1" x14ac:dyDescent="0.35">
      <c r="A152" t="s">
        <v>4087</v>
      </c>
      <c r="B152" s="30" t="s">
        <v>4389</v>
      </c>
      <c r="C152" s="32"/>
      <c r="D152" s="32"/>
      <c r="E152" s="32">
        <v>1691</v>
      </c>
      <c r="F152" s="32" t="s">
        <v>5340</v>
      </c>
      <c r="G152" s="32" t="s">
        <v>5341</v>
      </c>
      <c r="H152" s="31"/>
      <c r="I152" s="31">
        <v>1691</v>
      </c>
      <c r="J152" t="s">
        <v>5898</v>
      </c>
      <c r="K152" t="s">
        <v>4719</v>
      </c>
    </row>
    <row r="153" spans="1:11" ht="15" thickBot="1" x14ac:dyDescent="0.35">
      <c r="A153" t="s">
        <v>4088</v>
      </c>
      <c r="B153" s="30" t="s">
        <v>4135</v>
      </c>
      <c r="C153" s="32">
        <v>1715</v>
      </c>
      <c r="D153" s="32" t="s">
        <v>297</v>
      </c>
      <c r="E153" s="32">
        <v>1790</v>
      </c>
      <c r="F153" s="32"/>
      <c r="G153" s="32" t="s">
        <v>5342</v>
      </c>
      <c r="H153" s="31">
        <v>1715</v>
      </c>
      <c r="I153" s="31">
        <v>1790</v>
      </c>
      <c r="J153" t="s">
        <v>5904</v>
      </c>
      <c r="K153" t="s">
        <v>4687</v>
      </c>
    </row>
    <row r="154" spans="1:11" ht="15" thickBot="1" x14ac:dyDescent="0.35">
      <c r="A154" t="s">
        <v>4390</v>
      </c>
      <c r="B154" s="29" t="s">
        <v>4391</v>
      </c>
      <c r="C154" s="31">
        <v>1628</v>
      </c>
      <c r="D154" s="31" t="s">
        <v>5180</v>
      </c>
      <c r="E154" s="31" t="s">
        <v>5343</v>
      </c>
      <c r="F154" s="31" t="s">
        <v>5344</v>
      </c>
      <c r="G154" s="31" t="s">
        <v>5345</v>
      </c>
      <c r="H154" s="31">
        <v>1628</v>
      </c>
      <c r="I154" s="31">
        <v>1680</v>
      </c>
      <c r="J154" t="s">
        <v>5904</v>
      </c>
      <c r="K154" t="s">
        <v>4707</v>
      </c>
    </row>
    <row r="155" spans="1:11" ht="15" thickBot="1" x14ac:dyDescent="0.35">
      <c r="A155" t="s">
        <v>4392</v>
      </c>
      <c r="B155" s="29" t="s">
        <v>4393</v>
      </c>
      <c r="C155" s="31">
        <v>1628</v>
      </c>
      <c r="D155" s="31"/>
      <c r="E155" s="31">
        <v>1687</v>
      </c>
      <c r="F155" s="31"/>
      <c r="G155" s="31" t="s">
        <v>5346</v>
      </c>
      <c r="H155" s="31">
        <v>1628</v>
      </c>
      <c r="I155" s="31">
        <v>1687</v>
      </c>
      <c r="J155" t="s">
        <v>5905</v>
      </c>
      <c r="K155" t="s">
        <v>5906</v>
      </c>
    </row>
    <row r="156" spans="1:11" ht="15" thickBot="1" x14ac:dyDescent="0.35">
      <c r="A156" t="s">
        <v>4394</v>
      </c>
      <c r="B156" s="29" t="s">
        <v>4395</v>
      </c>
      <c r="C156" s="31" t="s">
        <v>5347</v>
      </c>
      <c r="D156" s="31" t="s">
        <v>5348</v>
      </c>
      <c r="E156" s="31" t="s">
        <v>5349</v>
      </c>
      <c r="F156" s="31" t="s">
        <v>5350</v>
      </c>
      <c r="G156" s="31" t="s">
        <v>5351</v>
      </c>
      <c r="H156" s="31">
        <v>1704</v>
      </c>
      <c r="I156" s="31">
        <v>1778</v>
      </c>
      <c r="J156" t="s">
        <v>5905</v>
      </c>
      <c r="K156" t="s">
        <v>5907</v>
      </c>
    </row>
    <row r="157" spans="1:11" ht="15" thickBot="1" x14ac:dyDescent="0.35">
      <c r="A157" t="s">
        <v>4396</v>
      </c>
      <c r="B157" s="29" t="s">
        <v>4397</v>
      </c>
      <c r="C157" s="31">
        <v>1606</v>
      </c>
      <c r="D157" s="31" t="s">
        <v>297</v>
      </c>
      <c r="E157" s="31" t="s">
        <v>5352</v>
      </c>
      <c r="F157" s="31" t="s">
        <v>5353</v>
      </c>
      <c r="G157" s="31" t="s">
        <v>5354</v>
      </c>
      <c r="H157" s="31">
        <v>1606</v>
      </c>
      <c r="I157" s="31">
        <v>1647</v>
      </c>
      <c r="J157" t="s">
        <v>5908</v>
      </c>
      <c r="K157" t="s">
        <v>4671</v>
      </c>
    </row>
    <row r="158" spans="1:11" ht="15" thickBot="1" x14ac:dyDescent="0.35">
      <c r="A158" t="s">
        <v>4089</v>
      </c>
      <c r="B158" s="30" t="s">
        <v>4136</v>
      </c>
      <c r="C158" s="32" t="s">
        <v>5355</v>
      </c>
      <c r="D158" s="32" t="s">
        <v>5356</v>
      </c>
      <c r="E158" s="32" t="s">
        <v>5357</v>
      </c>
      <c r="F158" s="32" t="s">
        <v>5358</v>
      </c>
      <c r="G158" s="32" t="s">
        <v>5359</v>
      </c>
      <c r="H158" s="31">
        <v>1671</v>
      </c>
      <c r="I158" s="31">
        <v>1746</v>
      </c>
      <c r="J158" t="s">
        <v>5909</v>
      </c>
      <c r="K158" t="s">
        <v>5910</v>
      </c>
    </row>
    <row r="159" spans="1:11" ht="15" thickBot="1" x14ac:dyDescent="0.35">
      <c r="A159" t="s">
        <v>4398</v>
      </c>
      <c r="B159" s="29" t="s">
        <v>4399</v>
      </c>
      <c r="C159" s="31">
        <v>1648</v>
      </c>
      <c r="D159" s="31"/>
      <c r="E159" s="31" t="s">
        <v>5360</v>
      </c>
      <c r="F159" s="31"/>
      <c r="G159" s="31" t="s">
        <v>5361</v>
      </c>
      <c r="H159" s="31">
        <v>1648</v>
      </c>
      <c r="I159" s="31">
        <v>1693</v>
      </c>
      <c r="J159" t="s">
        <v>5911</v>
      </c>
      <c r="K159" t="s">
        <v>5912</v>
      </c>
    </row>
    <row r="160" spans="1:11" ht="15" thickBot="1" x14ac:dyDescent="0.35">
      <c r="A160" t="s">
        <v>4050</v>
      </c>
      <c r="B160" s="30" t="s">
        <v>4400</v>
      </c>
      <c r="C160" s="32">
        <v>1741</v>
      </c>
      <c r="D160" s="32"/>
      <c r="E160" s="32" t="s">
        <v>5362</v>
      </c>
      <c r="F160" s="32" t="s">
        <v>5363</v>
      </c>
      <c r="G160" s="32" t="s">
        <v>5364</v>
      </c>
      <c r="H160" s="31">
        <v>1741</v>
      </c>
      <c r="I160" s="31">
        <v>1784</v>
      </c>
      <c r="J160" t="s">
        <v>5913</v>
      </c>
      <c r="K160" t="s">
        <v>5914</v>
      </c>
    </row>
    <row r="161" spans="1:11" ht="15" thickBot="1" x14ac:dyDescent="0.35">
      <c r="A161" t="s">
        <v>4120</v>
      </c>
      <c r="B161" s="30" t="s">
        <v>4401</v>
      </c>
      <c r="C161" s="32" t="s">
        <v>5365</v>
      </c>
      <c r="D161" s="32"/>
      <c r="E161" s="32" t="s">
        <v>5366</v>
      </c>
      <c r="F161" s="32"/>
      <c r="G161" s="32" t="s">
        <v>5367</v>
      </c>
      <c r="H161" s="31">
        <v>1730</v>
      </c>
      <c r="I161" s="31">
        <v>1778</v>
      </c>
      <c r="J161" t="s">
        <v>5915</v>
      </c>
      <c r="K161" t="s">
        <v>4666</v>
      </c>
    </row>
    <row r="162" spans="1:11" ht="15" thickBot="1" x14ac:dyDescent="0.35">
      <c r="A162" t="s">
        <v>4402</v>
      </c>
      <c r="B162" s="29" t="s">
        <v>4403</v>
      </c>
      <c r="C162" s="31"/>
      <c r="D162" s="31"/>
      <c r="E162" s="31" t="s">
        <v>5368</v>
      </c>
      <c r="F162" s="31"/>
      <c r="G162" s="31" t="s">
        <v>5369</v>
      </c>
      <c r="H162" s="31" t="s">
        <v>4982</v>
      </c>
      <c r="I162" s="31">
        <v>1641</v>
      </c>
      <c r="J162" t="s">
        <v>5916</v>
      </c>
      <c r="K162" t="s">
        <v>5917</v>
      </c>
    </row>
    <row r="163" spans="1:11" ht="15" thickBot="1" x14ac:dyDescent="0.35">
      <c r="A163" t="s">
        <v>4090</v>
      </c>
      <c r="B163" s="30" t="s">
        <v>4404</v>
      </c>
      <c r="C163" s="32">
        <v>1580</v>
      </c>
      <c r="D163" s="32"/>
      <c r="E163" s="32" t="s">
        <v>5370</v>
      </c>
      <c r="F163" s="32"/>
      <c r="G163" s="32" t="s">
        <v>5371</v>
      </c>
      <c r="H163" s="31">
        <v>1580</v>
      </c>
      <c r="I163" s="31">
        <v>1609</v>
      </c>
      <c r="J163" t="s">
        <v>5916</v>
      </c>
      <c r="K163" t="s">
        <v>5918</v>
      </c>
    </row>
    <row r="164" spans="1:11" ht="15" thickBot="1" x14ac:dyDescent="0.35">
      <c r="A164" t="s">
        <v>4091</v>
      </c>
      <c r="B164" s="30" t="s">
        <v>4405</v>
      </c>
      <c r="C164" s="32" t="s">
        <v>5372</v>
      </c>
      <c r="D164" s="32"/>
      <c r="E164" s="32">
        <v>1692</v>
      </c>
      <c r="F164" s="32"/>
      <c r="G164" s="32" t="s">
        <v>5373</v>
      </c>
      <c r="H164" s="31">
        <v>1620</v>
      </c>
      <c r="I164" s="31">
        <v>1692</v>
      </c>
      <c r="J164" t="s">
        <v>5919</v>
      </c>
      <c r="K164" t="s">
        <v>5920</v>
      </c>
    </row>
    <row r="165" spans="1:11" ht="15" thickBot="1" x14ac:dyDescent="0.35">
      <c r="A165" t="s">
        <v>4406</v>
      </c>
      <c r="B165" s="29" t="s">
        <v>4407</v>
      </c>
      <c r="C165" s="31" t="s">
        <v>5374</v>
      </c>
      <c r="D165" s="31" t="s">
        <v>5375</v>
      </c>
      <c r="E165" s="31"/>
      <c r="F165" s="31"/>
      <c r="G165" s="31" t="s">
        <v>5376</v>
      </c>
      <c r="H165" s="31">
        <v>1683</v>
      </c>
      <c r="I165" s="31" t="s">
        <v>4982</v>
      </c>
      <c r="J165" t="s">
        <v>5919</v>
      </c>
      <c r="K165" t="s">
        <v>5921</v>
      </c>
    </row>
    <row r="166" spans="1:11" ht="15" thickBot="1" x14ac:dyDescent="0.35">
      <c r="A166" t="s">
        <v>4092</v>
      </c>
      <c r="B166" s="30" t="s">
        <v>4408</v>
      </c>
      <c r="C166" s="32" t="s">
        <v>5377</v>
      </c>
      <c r="D166" s="32" t="s">
        <v>5378</v>
      </c>
      <c r="E166" s="32" t="s">
        <v>5379</v>
      </c>
      <c r="F166" s="32" t="s">
        <v>3303</v>
      </c>
      <c r="G166" s="32" t="s">
        <v>5380</v>
      </c>
      <c r="H166" s="31">
        <v>1644</v>
      </c>
      <c r="I166" s="31">
        <v>1712</v>
      </c>
      <c r="J166" t="s">
        <v>5919</v>
      </c>
      <c r="K166" t="s">
        <v>5922</v>
      </c>
    </row>
    <row r="167" spans="1:11" ht="15" thickBot="1" x14ac:dyDescent="0.35">
      <c r="A167" t="s">
        <v>4409</v>
      </c>
      <c r="B167" s="29" t="s">
        <v>4410</v>
      </c>
      <c r="C167" s="31" t="s">
        <v>5381</v>
      </c>
      <c r="D167" s="31" t="s">
        <v>5383</v>
      </c>
      <c r="E167" s="31" t="s">
        <v>5382</v>
      </c>
      <c r="F167" s="31"/>
      <c r="G167" s="31" t="s">
        <v>5384</v>
      </c>
      <c r="H167" s="31">
        <v>1637</v>
      </c>
      <c r="I167" s="31">
        <v>1693</v>
      </c>
      <c r="J167" t="s">
        <v>5923</v>
      </c>
      <c r="K167" t="s">
        <v>5921</v>
      </c>
    </row>
    <row r="168" spans="1:11" ht="15" thickBot="1" x14ac:dyDescent="0.35">
      <c r="A168" t="s">
        <v>4411</v>
      </c>
      <c r="B168" s="29" t="s">
        <v>4412</v>
      </c>
      <c r="C168" s="31" t="s">
        <v>5385</v>
      </c>
      <c r="D168" s="31" t="s">
        <v>5386</v>
      </c>
      <c r="E168" s="31" t="s">
        <v>5387</v>
      </c>
      <c r="F168" s="31" t="s">
        <v>5388</v>
      </c>
      <c r="G168" s="31" t="s">
        <v>5389</v>
      </c>
      <c r="H168" s="31">
        <v>1717</v>
      </c>
      <c r="I168" s="31">
        <v>1782</v>
      </c>
      <c r="J168" t="s">
        <v>5924</v>
      </c>
      <c r="K168" t="s">
        <v>5925</v>
      </c>
    </row>
    <row r="169" spans="1:11" ht="15" thickBot="1" x14ac:dyDescent="0.35">
      <c r="A169" t="s">
        <v>4413</v>
      </c>
      <c r="B169" s="29" t="s">
        <v>4414</v>
      </c>
      <c r="C169" s="31" t="s">
        <v>5390</v>
      </c>
      <c r="D169" s="31" t="s">
        <v>5391</v>
      </c>
      <c r="E169" s="31" t="s">
        <v>5392</v>
      </c>
      <c r="F169" s="31" t="s">
        <v>4793</v>
      </c>
      <c r="G169" s="31" t="s">
        <v>5393</v>
      </c>
      <c r="H169" s="31">
        <v>1593</v>
      </c>
      <c r="I169" s="31">
        <v>1675</v>
      </c>
      <c r="J169" t="s">
        <v>5924</v>
      </c>
      <c r="K169" t="s">
        <v>5872</v>
      </c>
    </row>
    <row r="170" spans="1:11" ht="15" thickBot="1" x14ac:dyDescent="0.35">
      <c r="A170" t="s">
        <v>4415</v>
      </c>
      <c r="B170" s="29" t="s">
        <v>4416</v>
      </c>
      <c r="C170" s="31" t="s">
        <v>5394</v>
      </c>
      <c r="D170" s="31" t="s">
        <v>297</v>
      </c>
      <c r="E170" s="31" t="s">
        <v>5395</v>
      </c>
      <c r="F170" s="31"/>
      <c r="G170" s="31" t="s">
        <v>5396</v>
      </c>
      <c r="H170" s="31">
        <v>1627</v>
      </c>
      <c r="I170" s="31">
        <v>1697</v>
      </c>
      <c r="J170" t="s">
        <v>5924</v>
      </c>
      <c r="K170" t="s">
        <v>5926</v>
      </c>
    </row>
    <row r="171" spans="1:11" ht="15" thickBot="1" x14ac:dyDescent="0.35">
      <c r="A171" t="s">
        <v>4093</v>
      </c>
      <c r="B171" s="30" t="s">
        <v>4417</v>
      </c>
      <c r="C171" s="32">
        <v>1633</v>
      </c>
      <c r="D171" s="32" t="s">
        <v>5397</v>
      </c>
      <c r="E171" s="32">
        <v>1689</v>
      </c>
      <c r="F171" s="32"/>
      <c r="G171" s="32" t="s">
        <v>5398</v>
      </c>
      <c r="H171" s="31">
        <v>1633</v>
      </c>
      <c r="I171" s="31">
        <v>1689</v>
      </c>
      <c r="J171" t="s">
        <v>5924</v>
      </c>
      <c r="K171" t="s">
        <v>5927</v>
      </c>
    </row>
    <row r="172" spans="1:11" ht="15" thickBot="1" x14ac:dyDescent="0.35">
      <c r="A172" t="s">
        <v>4418</v>
      </c>
      <c r="B172" s="29" t="s">
        <v>4419</v>
      </c>
      <c r="C172" s="31" t="s">
        <v>5399</v>
      </c>
      <c r="D172" s="31" t="s">
        <v>5400</v>
      </c>
      <c r="E172" s="31" t="s">
        <v>5401</v>
      </c>
      <c r="F172" s="31" t="s">
        <v>5402</v>
      </c>
      <c r="G172" s="31" t="s">
        <v>5403</v>
      </c>
      <c r="H172" s="31">
        <v>1717</v>
      </c>
      <c r="I172" s="31">
        <v>1770</v>
      </c>
      <c r="J172" t="s">
        <v>5928</v>
      </c>
      <c r="K172" t="s">
        <v>5929</v>
      </c>
    </row>
    <row r="173" spans="1:11" ht="15" thickBot="1" x14ac:dyDescent="0.35">
      <c r="A173" t="s">
        <v>4420</v>
      </c>
      <c r="B173" s="29" t="s">
        <v>4421</v>
      </c>
      <c r="C173" s="31" t="s">
        <v>5404</v>
      </c>
      <c r="D173" s="31"/>
      <c r="E173" s="31" t="s">
        <v>5405</v>
      </c>
      <c r="F173" s="31"/>
      <c r="G173" s="31" t="s">
        <v>5406</v>
      </c>
      <c r="H173" s="31">
        <v>1644</v>
      </c>
      <c r="I173" s="31">
        <v>1736</v>
      </c>
      <c r="J173" t="s">
        <v>4654</v>
      </c>
      <c r="K173" t="s">
        <v>5930</v>
      </c>
    </row>
    <row r="174" spans="1:11" ht="15" thickBot="1" x14ac:dyDescent="0.35">
      <c r="A174" t="s">
        <v>4422</v>
      </c>
      <c r="B174" s="29" t="s">
        <v>4423</v>
      </c>
      <c r="C174" s="31" t="s">
        <v>5407</v>
      </c>
      <c r="D174" s="31" t="s">
        <v>4793</v>
      </c>
      <c r="E174" s="31">
        <v>1701</v>
      </c>
      <c r="F174" s="31"/>
      <c r="G174" s="31" t="s">
        <v>5408</v>
      </c>
      <c r="H174" s="31">
        <v>1639</v>
      </c>
      <c r="I174" s="31">
        <v>1701</v>
      </c>
      <c r="J174" t="s">
        <v>5931</v>
      </c>
      <c r="K174" t="s">
        <v>5888</v>
      </c>
    </row>
    <row r="175" spans="1:11" ht="15" thickBot="1" x14ac:dyDescent="0.35">
      <c r="A175" t="s">
        <v>4424</v>
      </c>
      <c r="B175" s="29" t="s">
        <v>4425</v>
      </c>
      <c r="C175" s="31">
        <v>1641</v>
      </c>
      <c r="D175" s="31" t="s">
        <v>5409</v>
      </c>
      <c r="E175" s="31" t="s">
        <v>5410</v>
      </c>
      <c r="F175" s="31"/>
      <c r="G175" s="31" t="s">
        <v>5411</v>
      </c>
      <c r="H175" s="31">
        <v>1641</v>
      </c>
      <c r="I175" s="31">
        <v>1676</v>
      </c>
      <c r="J175" t="s">
        <v>5932</v>
      </c>
      <c r="K175" t="s">
        <v>5933</v>
      </c>
    </row>
    <row r="176" spans="1:11" ht="15" thickBot="1" x14ac:dyDescent="0.35">
      <c r="A176" t="s">
        <v>4426</v>
      </c>
      <c r="B176" s="29" t="s">
        <v>4427</v>
      </c>
      <c r="C176" s="31">
        <v>1608</v>
      </c>
      <c r="D176" s="31"/>
      <c r="E176" s="31">
        <v>1692</v>
      </c>
      <c r="F176" s="31"/>
      <c r="G176" s="31" t="s">
        <v>5412</v>
      </c>
      <c r="H176" s="31">
        <v>1608</v>
      </c>
      <c r="I176" s="31">
        <v>1692</v>
      </c>
      <c r="J176" t="s">
        <v>5934</v>
      </c>
      <c r="K176" t="s">
        <v>5935</v>
      </c>
    </row>
    <row r="177" spans="1:11" ht="15" thickBot="1" x14ac:dyDescent="0.35">
      <c r="A177" t="s">
        <v>4428</v>
      </c>
      <c r="B177" s="29" t="s">
        <v>4429</v>
      </c>
      <c r="C177" s="31">
        <v>1580</v>
      </c>
      <c r="D177" s="31" t="s">
        <v>5413</v>
      </c>
      <c r="E177" s="31">
        <v>1638</v>
      </c>
      <c r="F177" s="31" t="s">
        <v>5414</v>
      </c>
      <c r="G177" s="31" t="s">
        <v>5415</v>
      </c>
      <c r="H177" s="31">
        <v>1580</v>
      </c>
      <c r="I177" s="31">
        <v>1638</v>
      </c>
      <c r="J177" t="s">
        <v>5932</v>
      </c>
      <c r="K177" t="s">
        <v>5936</v>
      </c>
    </row>
    <row r="178" spans="1:11" ht="15" thickBot="1" x14ac:dyDescent="0.35">
      <c r="A178" t="s">
        <v>4430</v>
      </c>
      <c r="B178" s="29" t="s">
        <v>4431</v>
      </c>
      <c r="C178" s="31" t="s">
        <v>5416</v>
      </c>
      <c r="D178" s="31" t="s">
        <v>5417</v>
      </c>
      <c r="E178" s="31" t="s">
        <v>5418</v>
      </c>
      <c r="F178" s="31" t="s">
        <v>5419</v>
      </c>
      <c r="G178" s="31" t="s">
        <v>5420</v>
      </c>
      <c r="H178" s="31">
        <v>1610</v>
      </c>
      <c r="I178" s="31">
        <v>1672</v>
      </c>
      <c r="J178" t="s">
        <v>5932</v>
      </c>
      <c r="K178" t="s">
        <v>5937</v>
      </c>
    </row>
    <row r="179" spans="1:11" ht="15" thickBot="1" x14ac:dyDescent="0.35">
      <c r="A179" t="s">
        <v>4094</v>
      </c>
      <c r="B179" s="30" t="s">
        <v>4137</v>
      </c>
      <c r="C179" s="32">
        <v>1639</v>
      </c>
      <c r="D179" s="32" t="s">
        <v>5421</v>
      </c>
      <c r="E179" s="32" t="s">
        <v>5422</v>
      </c>
      <c r="F179" s="32" t="s">
        <v>5315</v>
      </c>
      <c r="G179" s="32" t="s">
        <v>5423</v>
      </c>
      <c r="H179" s="31">
        <v>1639</v>
      </c>
      <c r="I179" s="31">
        <v>1682</v>
      </c>
      <c r="J179" t="s">
        <v>5938</v>
      </c>
      <c r="K179" t="s">
        <v>5933</v>
      </c>
    </row>
    <row r="180" spans="1:11" ht="15" thickBot="1" x14ac:dyDescent="0.35">
      <c r="A180" t="s">
        <v>4095</v>
      </c>
      <c r="B180" s="30" t="s">
        <v>4432</v>
      </c>
      <c r="C180" s="32" t="s">
        <v>5424</v>
      </c>
      <c r="D180" s="32" t="s">
        <v>5425</v>
      </c>
      <c r="E180" s="32" t="s">
        <v>5427</v>
      </c>
      <c r="F180" s="32" t="s">
        <v>5426</v>
      </c>
      <c r="G180" s="32" t="s">
        <v>5428</v>
      </c>
      <c r="H180" s="31">
        <v>1638</v>
      </c>
      <c r="I180" s="31">
        <v>1723</v>
      </c>
      <c r="J180" t="s">
        <v>5938</v>
      </c>
      <c r="K180" t="s">
        <v>5939</v>
      </c>
    </row>
    <row r="181" spans="1:11" ht="15" thickBot="1" x14ac:dyDescent="0.35">
      <c r="A181" t="s">
        <v>4433</v>
      </c>
      <c r="B181" s="29" t="s">
        <v>4434</v>
      </c>
      <c r="C181" s="31" t="s">
        <v>5429</v>
      </c>
      <c r="D181" s="31" t="s">
        <v>297</v>
      </c>
      <c r="E181" s="31" t="s">
        <v>5430</v>
      </c>
      <c r="F181" s="31" t="s">
        <v>5353</v>
      </c>
      <c r="G181" s="31" t="s">
        <v>5431</v>
      </c>
      <c r="H181" s="31">
        <v>1626</v>
      </c>
      <c r="I181" s="31">
        <v>1682</v>
      </c>
      <c r="J181" t="s">
        <v>5940</v>
      </c>
      <c r="K181" t="s">
        <v>4671</v>
      </c>
    </row>
    <row r="182" spans="1:11" ht="15" thickBot="1" x14ac:dyDescent="0.35">
      <c r="A182" t="s">
        <v>4435</v>
      </c>
      <c r="B182" s="29" t="s">
        <v>4436</v>
      </c>
      <c r="C182" s="31" t="s">
        <v>5432</v>
      </c>
      <c r="D182" s="31" t="s">
        <v>5433</v>
      </c>
      <c r="E182" s="31" t="s">
        <v>5434</v>
      </c>
      <c r="F182" s="31" t="s">
        <v>5435</v>
      </c>
      <c r="G182" s="31" t="s">
        <v>5436</v>
      </c>
      <c r="H182" s="31">
        <v>1657</v>
      </c>
      <c r="I182" s="31">
        <v>1724</v>
      </c>
      <c r="J182" t="s">
        <v>5941</v>
      </c>
      <c r="K182" t="s">
        <v>5942</v>
      </c>
    </row>
    <row r="183" spans="1:11" ht="15" thickBot="1" x14ac:dyDescent="0.35">
      <c r="A183" t="s">
        <v>4437</v>
      </c>
      <c r="B183" s="29" t="s">
        <v>4438</v>
      </c>
      <c r="C183" s="31" t="s">
        <v>5437</v>
      </c>
      <c r="D183" s="31"/>
      <c r="E183" s="31" t="s">
        <v>5438</v>
      </c>
      <c r="F183" s="31" t="s">
        <v>3127</v>
      </c>
      <c r="G183" s="31" t="s">
        <v>5439</v>
      </c>
      <c r="H183" s="31">
        <v>1532</v>
      </c>
      <c r="I183" s="31">
        <v>1603</v>
      </c>
      <c r="J183" t="s">
        <v>5943</v>
      </c>
      <c r="K183" t="s">
        <v>5944</v>
      </c>
    </row>
    <row r="184" spans="1:11" ht="15" thickBot="1" x14ac:dyDescent="0.35">
      <c r="A184" t="s">
        <v>4439</v>
      </c>
      <c r="B184" s="29" t="s">
        <v>4440</v>
      </c>
      <c r="C184" s="31" t="s">
        <v>5440</v>
      </c>
      <c r="D184" s="31"/>
      <c r="E184" s="31" t="s">
        <v>5441</v>
      </c>
      <c r="F184" s="31" t="s">
        <v>5201</v>
      </c>
      <c r="G184" s="31" t="s">
        <v>5442</v>
      </c>
      <c r="H184" s="31">
        <v>1592</v>
      </c>
      <c r="I184" s="31">
        <v>1672</v>
      </c>
      <c r="J184" t="s">
        <v>1291</v>
      </c>
      <c r="K184" t="s">
        <v>5945</v>
      </c>
    </row>
    <row r="185" spans="1:11" ht="15" thickBot="1" x14ac:dyDescent="0.35">
      <c r="A185" t="s">
        <v>4096</v>
      </c>
      <c r="B185" s="30" t="s">
        <v>4441</v>
      </c>
      <c r="C185" s="32">
        <v>1608</v>
      </c>
      <c r="D185" s="32" t="s">
        <v>5444</v>
      </c>
      <c r="E185" s="32" t="s">
        <v>5443</v>
      </c>
      <c r="F185" s="32"/>
      <c r="G185" s="32" t="s">
        <v>5445</v>
      </c>
      <c r="H185" s="31">
        <v>1608</v>
      </c>
      <c r="I185" s="31">
        <v>1675</v>
      </c>
      <c r="J185" t="s">
        <v>1291</v>
      </c>
      <c r="K185" t="s">
        <v>5946</v>
      </c>
    </row>
    <row r="186" spans="1:11" ht="15" thickBot="1" x14ac:dyDescent="0.35">
      <c r="A186" t="s">
        <v>4442</v>
      </c>
      <c r="B186" s="29" t="s">
        <v>4443</v>
      </c>
      <c r="C186" s="31">
        <v>1636</v>
      </c>
      <c r="D186" s="31" t="s">
        <v>3127</v>
      </c>
      <c r="E186" s="31" t="s">
        <v>5446</v>
      </c>
      <c r="F186" s="31" t="s">
        <v>5447</v>
      </c>
      <c r="G186" s="31" t="s">
        <v>5448</v>
      </c>
      <c r="H186" s="31">
        <v>1636</v>
      </c>
      <c r="I186" s="31">
        <v>1701</v>
      </c>
      <c r="J186" t="s">
        <v>1291</v>
      </c>
      <c r="K186" t="s">
        <v>5947</v>
      </c>
    </row>
    <row r="187" spans="1:11" ht="15" thickBot="1" x14ac:dyDescent="0.35">
      <c r="A187" t="s">
        <v>4444</v>
      </c>
      <c r="B187" s="29" t="s">
        <v>4445</v>
      </c>
      <c r="C187" s="31"/>
      <c r="D187" s="31"/>
      <c r="E187" s="31">
        <v>1622</v>
      </c>
      <c r="F187" s="31" t="s">
        <v>5449</v>
      </c>
      <c r="G187" s="31" t="s">
        <v>5450</v>
      </c>
      <c r="H187" s="31" t="s">
        <v>4982</v>
      </c>
      <c r="I187" s="31">
        <v>1622</v>
      </c>
      <c r="J187" t="s">
        <v>1291</v>
      </c>
      <c r="K187" t="s">
        <v>5948</v>
      </c>
    </row>
    <row r="188" spans="1:11" ht="15" thickBot="1" x14ac:dyDescent="0.35">
      <c r="A188" t="s">
        <v>4097</v>
      </c>
      <c r="B188" s="29" t="s">
        <v>4138</v>
      </c>
      <c r="C188" s="31"/>
      <c r="D188" s="31"/>
      <c r="E188" s="31" t="s">
        <v>5451</v>
      </c>
      <c r="F188" s="31" t="s">
        <v>5120</v>
      </c>
      <c r="G188" s="31" t="s">
        <v>5452</v>
      </c>
      <c r="H188" s="31" t="s">
        <v>4982</v>
      </c>
      <c r="I188" s="31">
        <v>1719</v>
      </c>
      <c r="J188" t="s">
        <v>1291</v>
      </c>
      <c r="K188" t="s">
        <v>5949</v>
      </c>
    </row>
    <row r="189" spans="1:11" ht="15" thickBot="1" x14ac:dyDescent="0.35">
      <c r="A189" t="s">
        <v>4098</v>
      </c>
      <c r="B189" s="30" t="s">
        <v>4139</v>
      </c>
      <c r="C189" s="32" t="s">
        <v>4846</v>
      </c>
      <c r="D189" s="32"/>
      <c r="E189" s="32" t="s">
        <v>5136</v>
      </c>
      <c r="F189" s="32" t="s">
        <v>5453</v>
      </c>
      <c r="G189" s="32" t="s">
        <v>5454</v>
      </c>
      <c r="H189" s="31">
        <v>1600</v>
      </c>
      <c r="I189" s="31">
        <v>1650</v>
      </c>
      <c r="J189" t="s">
        <v>1291</v>
      </c>
      <c r="K189" t="s">
        <v>5950</v>
      </c>
    </row>
    <row r="190" spans="1:11" ht="15" thickBot="1" x14ac:dyDescent="0.35">
      <c r="A190" t="s">
        <v>4099</v>
      </c>
      <c r="B190" s="30" t="s">
        <v>4446</v>
      </c>
      <c r="C190" s="32" t="s">
        <v>5455</v>
      </c>
      <c r="D190" s="32"/>
      <c r="E190" s="32" t="s">
        <v>5456</v>
      </c>
      <c r="F190" s="32"/>
      <c r="G190" s="32" t="s">
        <v>5457</v>
      </c>
      <c r="H190" s="31">
        <v>1610</v>
      </c>
      <c r="I190" s="31">
        <v>1684</v>
      </c>
      <c r="J190" t="s">
        <v>1291</v>
      </c>
      <c r="K190" t="s">
        <v>5951</v>
      </c>
    </row>
    <row r="191" spans="1:11" ht="15" thickBot="1" x14ac:dyDescent="0.35">
      <c r="A191" t="s">
        <v>4100</v>
      </c>
      <c r="B191" s="29" t="s">
        <v>4140</v>
      </c>
      <c r="C191" s="31">
        <v>1624</v>
      </c>
      <c r="D191" s="31"/>
      <c r="E191" s="31" t="s">
        <v>5458</v>
      </c>
      <c r="F191" s="31" t="s">
        <v>5459</v>
      </c>
      <c r="G191" s="31" t="s">
        <v>5460</v>
      </c>
      <c r="H191" s="31">
        <v>1624</v>
      </c>
      <c r="I191" s="31">
        <v>1672</v>
      </c>
      <c r="J191" t="s">
        <v>1291</v>
      </c>
      <c r="K191" t="s">
        <v>5952</v>
      </c>
    </row>
    <row r="192" spans="1:11" ht="15" thickBot="1" x14ac:dyDescent="0.35">
      <c r="A192" t="s">
        <v>4447</v>
      </c>
      <c r="B192" s="29" t="s">
        <v>4448</v>
      </c>
      <c r="C192" s="31" t="s">
        <v>5461</v>
      </c>
      <c r="D192" s="31"/>
      <c r="E192" s="31" t="s">
        <v>5462</v>
      </c>
      <c r="F192" s="31" t="s">
        <v>5463</v>
      </c>
      <c r="G192" s="31" t="s">
        <v>5464</v>
      </c>
      <c r="H192" s="31">
        <v>1735</v>
      </c>
      <c r="I192" s="31">
        <v>1811</v>
      </c>
      <c r="J192" t="s">
        <v>1291</v>
      </c>
      <c r="K192" t="s">
        <v>5883</v>
      </c>
    </row>
    <row r="193" spans="1:11" ht="15" thickBot="1" x14ac:dyDescent="0.35">
      <c r="A193" t="s">
        <v>4449</v>
      </c>
      <c r="B193" s="29" t="s">
        <v>4450</v>
      </c>
      <c r="C193" s="31">
        <v>1585</v>
      </c>
      <c r="D193" s="31"/>
      <c r="E193" s="31" t="s">
        <v>5465</v>
      </c>
      <c r="F193" s="31"/>
      <c r="G193" s="31" t="s">
        <v>5466</v>
      </c>
      <c r="H193" s="31">
        <v>1585</v>
      </c>
      <c r="I193" s="31">
        <v>1651</v>
      </c>
      <c r="J193" t="s">
        <v>1291</v>
      </c>
      <c r="K193" t="s">
        <v>5953</v>
      </c>
    </row>
    <row r="194" spans="1:11" ht="15" thickBot="1" x14ac:dyDescent="0.35">
      <c r="A194" t="s">
        <v>4451</v>
      </c>
      <c r="B194" s="29" t="s">
        <v>4452</v>
      </c>
      <c r="C194" s="31" t="s">
        <v>5467</v>
      </c>
      <c r="D194" s="31" t="s">
        <v>5468</v>
      </c>
      <c r="E194" s="31" t="s">
        <v>5469</v>
      </c>
      <c r="F194" s="31" t="s">
        <v>5470</v>
      </c>
      <c r="G194" s="31" t="s">
        <v>5471</v>
      </c>
      <c r="H194" s="31">
        <v>1615</v>
      </c>
      <c r="I194" s="31">
        <v>1689</v>
      </c>
      <c r="J194" t="s">
        <v>1291</v>
      </c>
      <c r="K194" t="s">
        <v>5954</v>
      </c>
    </row>
    <row r="195" spans="1:11" ht="15" thickBot="1" x14ac:dyDescent="0.35">
      <c r="A195" t="s">
        <v>4453</v>
      </c>
      <c r="B195" s="29" t="s">
        <v>4454</v>
      </c>
      <c r="C195" s="31" t="s">
        <v>5472</v>
      </c>
      <c r="D195" s="31" t="s">
        <v>4793</v>
      </c>
      <c r="E195" s="31" t="s">
        <v>5473</v>
      </c>
      <c r="F195" s="31"/>
      <c r="G195" s="31" t="s">
        <v>5474</v>
      </c>
      <c r="H195" s="31">
        <v>1689</v>
      </c>
      <c r="I195" s="31">
        <v>1763</v>
      </c>
      <c r="J195" t="s">
        <v>1291</v>
      </c>
      <c r="K195" t="s">
        <v>5955</v>
      </c>
    </row>
    <row r="196" spans="1:11" ht="15" thickBot="1" x14ac:dyDescent="0.35">
      <c r="A196" t="s">
        <v>4455</v>
      </c>
      <c r="B196" s="29" t="s">
        <v>4456</v>
      </c>
      <c r="C196" s="31" t="s">
        <v>5475</v>
      </c>
      <c r="D196" s="31" t="s">
        <v>5476</v>
      </c>
      <c r="E196" s="31" t="s">
        <v>5477</v>
      </c>
      <c r="F196" s="31" t="s">
        <v>5478</v>
      </c>
      <c r="G196" s="31" t="s">
        <v>5479</v>
      </c>
      <c r="H196" s="31">
        <v>1660</v>
      </c>
      <c r="I196" s="31">
        <v>1749</v>
      </c>
      <c r="J196" t="s">
        <v>4648</v>
      </c>
      <c r="K196" t="s">
        <v>4649</v>
      </c>
    </row>
    <row r="197" spans="1:11" ht="15" thickBot="1" x14ac:dyDescent="0.35">
      <c r="A197" t="s">
        <v>4457</v>
      </c>
      <c r="B197" s="29" t="s">
        <v>4458</v>
      </c>
      <c r="C197" s="31" t="s">
        <v>5480</v>
      </c>
      <c r="D197" s="31"/>
      <c r="E197" s="31" t="s">
        <v>5481</v>
      </c>
      <c r="F197" s="31" t="s">
        <v>5482</v>
      </c>
      <c r="G197" s="31" t="s">
        <v>5483</v>
      </c>
      <c r="H197" s="31">
        <v>1648</v>
      </c>
      <c r="I197" s="31">
        <v>1690</v>
      </c>
      <c r="J197" t="s">
        <v>5956</v>
      </c>
      <c r="K197" t="s">
        <v>5957</v>
      </c>
    </row>
    <row r="198" spans="1:11" ht="15" thickBot="1" x14ac:dyDescent="0.35">
      <c r="A198" t="s">
        <v>4459</v>
      </c>
      <c r="B198" s="29" t="s">
        <v>4460</v>
      </c>
      <c r="C198" s="31" t="s">
        <v>5484</v>
      </c>
      <c r="D198" s="31" t="s">
        <v>5485</v>
      </c>
      <c r="E198" s="31" t="s">
        <v>5486</v>
      </c>
      <c r="F198" s="31" t="s">
        <v>5487</v>
      </c>
      <c r="G198" s="31" t="s">
        <v>5488</v>
      </c>
      <c r="H198" s="31">
        <v>1663</v>
      </c>
      <c r="I198" s="31">
        <v>1732</v>
      </c>
      <c r="J198" t="s">
        <v>5956</v>
      </c>
      <c r="K198" t="s">
        <v>5958</v>
      </c>
    </row>
    <row r="199" spans="1:11" ht="15" thickBot="1" x14ac:dyDescent="0.35">
      <c r="A199" t="s">
        <v>4101</v>
      </c>
      <c r="B199" s="29" t="s">
        <v>4461</v>
      </c>
      <c r="C199" s="31" t="s">
        <v>5489</v>
      </c>
      <c r="D199" s="31" t="s">
        <v>5490</v>
      </c>
      <c r="E199" s="31" t="s">
        <v>5491</v>
      </c>
      <c r="F199" s="31" t="s">
        <v>5492</v>
      </c>
      <c r="G199" s="31" t="s">
        <v>5493</v>
      </c>
      <c r="H199" s="31">
        <v>1646</v>
      </c>
      <c r="I199" s="31">
        <v>1718</v>
      </c>
      <c r="J199" t="s">
        <v>5956</v>
      </c>
      <c r="K199" t="s">
        <v>5959</v>
      </c>
    </row>
    <row r="200" spans="1:11" ht="15" thickBot="1" x14ac:dyDescent="0.35">
      <c r="A200" t="s">
        <v>4102</v>
      </c>
      <c r="B200" s="30" t="s">
        <v>4462</v>
      </c>
      <c r="C200" s="32">
        <v>1692</v>
      </c>
      <c r="D200" s="32" t="s">
        <v>5494</v>
      </c>
      <c r="E200" s="32" t="s">
        <v>5495</v>
      </c>
      <c r="F200" s="32" t="s">
        <v>5496</v>
      </c>
      <c r="G200" s="32" t="s">
        <v>5497</v>
      </c>
      <c r="H200" s="31">
        <v>1692</v>
      </c>
      <c r="I200" s="31">
        <v>1770</v>
      </c>
      <c r="J200" t="s">
        <v>5956</v>
      </c>
      <c r="K200" t="s">
        <v>5960</v>
      </c>
    </row>
    <row r="201" spans="1:11" ht="15" thickBot="1" x14ac:dyDescent="0.35">
      <c r="A201" t="s">
        <v>4103</v>
      </c>
      <c r="B201" s="30" t="s">
        <v>4463</v>
      </c>
      <c r="C201" s="32" t="s">
        <v>5498</v>
      </c>
      <c r="D201" s="32" t="s">
        <v>297</v>
      </c>
      <c r="E201" s="32"/>
      <c r="F201" s="32" t="s">
        <v>3750</v>
      </c>
      <c r="G201" s="32" t="s">
        <v>5499</v>
      </c>
      <c r="H201" s="31">
        <v>1644</v>
      </c>
      <c r="I201" s="31" t="s">
        <v>4982</v>
      </c>
      <c r="J201" t="s">
        <v>5956</v>
      </c>
      <c r="K201" t="s">
        <v>5961</v>
      </c>
    </row>
    <row r="202" spans="1:11" ht="15" thickBot="1" x14ac:dyDescent="0.35">
      <c r="A202" t="s">
        <v>4464</v>
      </c>
      <c r="B202" s="29" t="s">
        <v>4465</v>
      </c>
      <c r="C202" s="31">
        <v>1595</v>
      </c>
      <c r="D202" s="31"/>
      <c r="E202" s="31" t="s">
        <v>5500</v>
      </c>
      <c r="F202" s="31"/>
      <c r="G202" s="31" t="s">
        <v>5501</v>
      </c>
      <c r="H202" s="31">
        <v>1595</v>
      </c>
      <c r="I202" s="31">
        <v>1620</v>
      </c>
      <c r="J202" t="s">
        <v>5956</v>
      </c>
      <c r="K202" t="s">
        <v>4709</v>
      </c>
    </row>
    <row r="203" spans="1:11" ht="15" thickBot="1" x14ac:dyDescent="0.35">
      <c r="A203" t="s">
        <v>4104</v>
      </c>
      <c r="B203" s="29" t="s">
        <v>4141</v>
      </c>
      <c r="C203" s="31">
        <v>1666</v>
      </c>
      <c r="D203" s="31" t="s">
        <v>215</v>
      </c>
      <c r="E203" s="31" t="s">
        <v>5502</v>
      </c>
      <c r="F203" s="31" t="s">
        <v>5503</v>
      </c>
      <c r="G203" s="31" t="s">
        <v>5504</v>
      </c>
      <c r="H203" s="31">
        <v>1666</v>
      </c>
      <c r="I203" s="31">
        <v>1734</v>
      </c>
      <c r="J203" t="s">
        <v>5956</v>
      </c>
      <c r="K203" t="s">
        <v>5962</v>
      </c>
    </row>
    <row r="204" spans="1:11" ht="15" thickBot="1" x14ac:dyDescent="0.35">
      <c r="A204" t="s">
        <v>4647</v>
      </c>
      <c r="B204" s="30" t="s">
        <v>5505</v>
      </c>
      <c r="C204" s="32" t="s">
        <v>5506</v>
      </c>
      <c r="D204" s="32"/>
      <c r="E204" s="32" t="s">
        <v>5507</v>
      </c>
      <c r="F204" s="32"/>
      <c r="G204" s="32" t="s">
        <v>5508</v>
      </c>
      <c r="H204" s="31">
        <v>1631</v>
      </c>
      <c r="I204" s="31">
        <v>1686</v>
      </c>
      <c r="J204" t="s">
        <v>5898</v>
      </c>
      <c r="K204" t="s">
        <v>5963</v>
      </c>
    </row>
    <row r="205" spans="1:11" ht="15" thickBot="1" x14ac:dyDescent="0.35">
      <c r="A205" t="s">
        <v>4104</v>
      </c>
      <c r="B205" s="30" t="s">
        <v>4141</v>
      </c>
      <c r="C205" s="32">
        <v>1666</v>
      </c>
      <c r="D205" s="32" t="s">
        <v>215</v>
      </c>
      <c r="E205" s="32" t="s">
        <v>5502</v>
      </c>
      <c r="F205" s="32" t="s">
        <v>5503</v>
      </c>
      <c r="G205" s="32" t="s">
        <v>5504</v>
      </c>
      <c r="H205" s="31">
        <v>1666</v>
      </c>
      <c r="I205" s="31">
        <v>1734</v>
      </c>
      <c r="J205" t="s">
        <v>5956</v>
      </c>
      <c r="K205" t="s">
        <v>5962</v>
      </c>
    </row>
    <row r="206" spans="1:11" ht="15" thickBot="1" x14ac:dyDescent="0.35">
      <c r="A206" t="s">
        <v>4466</v>
      </c>
      <c r="B206" s="29" t="s">
        <v>4467</v>
      </c>
      <c r="C206" s="31" t="s">
        <v>5509</v>
      </c>
      <c r="D206" s="31" t="s">
        <v>3511</v>
      </c>
      <c r="E206" s="31" t="s">
        <v>5510</v>
      </c>
      <c r="F206" s="31" t="s">
        <v>5511</v>
      </c>
      <c r="G206" s="31" t="s">
        <v>5512</v>
      </c>
      <c r="H206" s="31">
        <v>1700</v>
      </c>
      <c r="I206" s="31">
        <v>1764</v>
      </c>
      <c r="J206" t="s">
        <v>4104</v>
      </c>
      <c r="K206" t="s">
        <v>5910</v>
      </c>
    </row>
    <row r="207" spans="1:11" ht="15" thickBot="1" x14ac:dyDescent="0.35">
      <c r="A207" t="s">
        <v>4105</v>
      </c>
      <c r="B207" s="30" t="s">
        <v>4468</v>
      </c>
      <c r="C207" s="32">
        <v>1682</v>
      </c>
      <c r="D207" s="32"/>
      <c r="E207" s="32">
        <v>1735</v>
      </c>
      <c r="F207" s="32" t="s">
        <v>5513</v>
      </c>
      <c r="G207" s="32" t="s">
        <v>5514</v>
      </c>
      <c r="H207" s="31">
        <v>1682</v>
      </c>
      <c r="I207" s="31">
        <v>1735</v>
      </c>
      <c r="J207" t="s">
        <v>5956</v>
      </c>
      <c r="K207" t="s">
        <v>5922</v>
      </c>
    </row>
    <row r="208" spans="1:11" ht="15" thickBot="1" x14ac:dyDescent="0.35">
      <c r="A208" t="s">
        <v>4469</v>
      </c>
      <c r="B208" s="29" t="s">
        <v>4470</v>
      </c>
      <c r="C208" s="31"/>
      <c r="D208" s="31" t="s">
        <v>5515</v>
      </c>
      <c r="E208" s="31" t="s">
        <v>5516</v>
      </c>
      <c r="F208" s="31"/>
      <c r="G208" s="31" t="s">
        <v>5517</v>
      </c>
      <c r="H208" s="31" t="s">
        <v>4982</v>
      </c>
      <c r="I208" s="31">
        <v>1782</v>
      </c>
      <c r="J208" t="s">
        <v>5956</v>
      </c>
      <c r="K208" t="s">
        <v>5964</v>
      </c>
    </row>
    <row r="209" spans="1:11" ht="15" thickBot="1" x14ac:dyDescent="0.35">
      <c r="A209" t="s">
        <v>4106</v>
      </c>
      <c r="B209" s="30" t="s">
        <v>4471</v>
      </c>
      <c r="C209" s="32" t="s">
        <v>5518</v>
      </c>
      <c r="D209" s="32" t="s">
        <v>297</v>
      </c>
      <c r="E209" s="32" t="s">
        <v>5519</v>
      </c>
      <c r="F209" s="32" t="s">
        <v>224</v>
      </c>
      <c r="G209" s="32" t="s">
        <v>5520</v>
      </c>
      <c r="H209" s="31">
        <v>1644</v>
      </c>
      <c r="I209" s="31">
        <v>1712</v>
      </c>
      <c r="J209" t="s">
        <v>5956</v>
      </c>
      <c r="K209" t="s">
        <v>5965</v>
      </c>
    </row>
    <row r="210" spans="1:11" ht="15" thickBot="1" x14ac:dyDescent="0.35">
      <c r="A210" t="s">
        <v>4108</v>
      </c>
      <c r="B210" s="30" t="s">
        <v>4499</v>
      </c>
      <c r="C210" s="32"/>
      <c r="D210" s="32"/>
      <c r="E210" s="32">
        <v>1691</v>
      </c>
      <c r="F210" s="32" t="s">
        <v>3816</v>
      </c>
      <c r="G210" s="32" t="s">
        <v>5521</v>
      </c>
      <c r="H210" s="31" t="s">
        <v>4982</v>
      </c>
      <c r="I210" s="31">
        <v>1691</v>
      </c>
      <c r="J210" t="s">
        <v>5966</v>
      </c>
      <c r="K210" t="s">
        <v>5967</v>
      </c>
    </row>
    <row r="211" spans="1:11" ht="15" thickBot="1" x14ac:dyDescent="0.35">
      <c r="A211" t="s">
        <v>4472</v>
      </c>
      <c r="B211" s="29" t="s">
        <v>4473</v>
      </c>
      <c r="C211" s="31" t="s">
        <v>5522</v>
      </c>
      <c r="D211" s="31" t="s">
        <v>5523</v>
      </c>
      <c r="E211" s="31" t="s">
        <v>5524</v>
      </c>
      <c r="F211" s="31" t="s">
        <v>5525</v>
      </c>
      <c r="G211" s="31" t="s">
        <v>5526</v>
      </c>
      <c r="H211" s="31">
        <v>1624</v>
      </c>
      <c r="I211" s="31">
        <v>1710</v>
      </c>
      <c r="J211" t="s">
        <v>5956</v>
      </c>
      <c r="K211" t="s">
        <v>5968</v>
      </c>
    </row>
    <row r="212" spans="1:11" ht="15" thickBot="1" x14ac:dyDescent="0.35">
      <c r="A212" t="s">
        <v>4474</v>
      </c>
      <c r="B212" s="29" t="s">
        <v>4475</v>
      </c>
      <c r="C212" s="31" t="s">
        <v>5527</v>
      </c>
      <c r="D212" s="31"/>
      <c r="E212" s="31" t="s">
        <v>5528</v>
      </c>
      <c r="F212" s="31" t="s">
        <v>5529</v>
      </c>
      <c r="G212" s="31" t="s">
        <v>5530</v>
      </c>
      <c r="H212" s="31">
        <v>1603</v>
      </c>
      <c r="I212" s="31">
        <v>1683</v>
      </c>
      <c r="J212" t="s">
        <v>770</v>
      </c>
      <c r="K212" t="s">
        <v>5969</v>
      </c>
    </row>
    <row r="213" spans="1:11" ht="15" thickBot="1" x14ac:dyDescent="0.35">
      <c r="A213" t="s">
        <v>4476</v>
      </c>
      <c r="B213" s="29" t="s">
        <v>4477</v>
      </c>
      <c r="C213" s="31" t="s">
        <v>5531</v>
      </c>
      <c r="D213" s="31" t="s">
        <v>5532</v>
      </c>
      <c r="E213" s="31" t="s">
        <v>5533</v>
      </c>
      <c r="F213" s="31" t="s">
        <v>5532</v>
      </c>
      <c r="G213" s="31" t="s">
        <v>5534</v>
      </c>
      <c r="H213" s="31">
        <v>1679</v>
      </c>
      <c r="I213" s="31">
        <v>1767</v>
      </c>
      <c r="J213" t="s">
        <v>770</v>
      </c>
      <c r="K213" t="s">
        <v>5970</v>
      </c>
    </row>
    <row r="214" spans="1:11" ht="15" thickBot="1" x14ac:dyDescent="0.35">
      <c r="A214" t="s">
        <v>4478</v>
      </c>
      <c r="B214" s="29" t="s">
        <v>4479</v>
      </c>
      <c r="C214" s="31">
        <v>1635</v>
      </c>
      <c r="D214" s="31" t="s">
        <v>3153</v>
      </c>
      <c r="E214" s="31">
        <v>1705</v>
      </c>
      <c r="F214" s="31"/>
      <c r="G214" s="31" t="s">
        <v>5535</v>
      </c>
      <c r="H214" s="31">
        <v>1635</v>
      </c>
      <c r="I214" s="31">
        <v>1705</v>
      </c>
      <c r="J214" t="s">
        <v>5971</v>
      </c>
      <c r="K214" t="s">
        <v>5972</v>
      </c>
    </row>
    <row r="215" spans="1:11" ht="15" thickBot="1" x14ac:dyDescent="0.35">
      <c r="A215" t="s">
        <v>4107</v>
      </c>
      <c r="B215" s="30" t="s">
        <v>4142</v>
      </c>
      <c r="C215" s="32" t="s">
        <v>5536</v>
      </c>
      <c r="D215" s="32"/>
      <c r="E215" s="32" t="s">
        <v>5537</v>
      </c>
      <c r="F215" s="32"/>
      <c r="G215" s="32" t="s">
        <v>5538</v>
      </c>
      <c r="H215" s="31">
        <v>1580</v>
      </c>
      <c r="I215" s="31">
        <v>1626</v>
      </c>
      <c r="J215" t="s">
        <v>5971</v>
      </c>
      <c r="K215" t="s">
        <v>5973</v>
      </c>
    </row>
    <row r="216" spans="1:11" ht="15" thickBot="1" x14ac:dyDescent="0.35">
      <c r="A216" t="s">
        <v>4480</v>
      </c>
      <c r="B216" s="29" t="s">
        <v>4481</v>
      </c>
      <c r="C216" s="31" t="s">
        <v>5539</v>
      </c>
      <c r="D216" s="31" t="s">
        <v>5540</v>
      </c>
      <c r="E216" s="31" t="s">
        <v>5541</v>
      </c>
      <c r="F216" s="31" t="s">
        <v>5131</v>
      </c>
      <c r="G216" s="31" t="s">
        <v>5542</v>
      </c>
      <c r="H216" s="31">
        <v>1649</v>
      </c>
      <c r="I216" s="31">
        <v>1714</v>
      </c>
      <c r="J216" t="s">
        <v>5971</v>
      </c>
      <c r="K216" t="s">
        <v>5974</v>
      </c>
    </row>
    <row r="217" spans="1:11" ht="15" thickBot="1" x14ac:dyDescent="0.35">
      <c r="A217" t="s">
        <v>4482</v>
      </c>
      <c r="B217" s="29" t="s">
        <v>4483</v>
      </c>
      <c r="C217" s="31" t="s">
        <v>5543</v>
      </c>
      <c r="D217" s="31" t="s">
        <v>4793</v>
      </c>
      <c r="E217" s="31" t="s">
        <v>5544</v>
      </c>
      <c r="F217" s="31" t="s">
        <v>4793</v>
      </c>
      <c r="G217" s="31" t="s">
        <v>5545</v>
      </c>
      <c r="H217" s="31">
        <v>1659</v>
      </c>
      <c r="I217" s="31">
        <v>1727</v>
      </c>
      <c r="J217" t="s">
        <v>5971</v>
      </c>
      <c r="K217" t="s">
        <v>5870</v>
      </c>
    </row>
    <row r="218" spans="1:11" ht="15" thickBot="1" x14ac:dyDescent="0.35">
      <c r="A218" t="s">
        <v>4484</v>
      </c>
      <c r="B218" s="29" t="s">
        <v>4485</v>
      </c>
      <c r="C218" s="31" t="s">
        <v>5546</v>
      </c>
      <c r="D218" s="31" t="s">
        <v>5547</v>
      </c>
      <c r="E218" s="31" t="s">
        <v>5548</v>
      </c>
      <c r="F218" s="31" t="s">
        <v>5549</v>
      </c>
      <c r="G218" s="31" t="s">
        <v>5550</v>
      </c>
      <c r="H218" s="31">
        <v>1592</v>
      </c>
      <c r="I218" s="31">
        <v>1677</v>
      </c>
      <c r="J218" t="s">
        <v>5971</v>
      </c>
      <c r="K218" t="s">
        <v>5975</v>
      </c>
    </row>
    <row r="219" spans="1:11" ht="15" thickBot="1" x14ac:dyDescent="0.35">
      <c r="A219" t="s">
        <v>4486</v>
      </c>
      <c r="B219" s="29" t="s">
        <v>4487</v>
      </c>
      <c r="C219" s="31">
        <v>1630</v>
      </c>
      <c r="D219" s="31" t="s">
        <v>5551</v>
      </c>
      <c r="E219" s="31">
        <v>1660</v>
      </c>
      <c r="F219" s="31" t="s">
        <v>224</v>
      </c>
      <c r="G219" s="31" t="s">
        <v>5552</v>
      </c>
      <c r="H219" s="31">
        <v>1630</v>
      </c>
      <c r="I219" s="31">
        <v>1660</v>
      </c>
      <c r="J219" t="s">
        <v>5971</v>
      </c>
      <c r="K219" t="s">
        <v>5976</v>
      </c>
    </row>
    <row r="220" spans="1:11" ht="15" thickBot="1" x14ac:dyDescent="0.35">
      <c r="A220" t="s">
        <v>4488</v>
      </c>
      <c r="B220" s="29" t="s">
        <v>4489</v>
      </c>
      <c r="C220" s="31" t="s">
        <v>5553</v>
      </c>
      <c r="D220" s="31" t="s">
        <v>5554</v>
      </c>
      <c r="E220" s="31" t="s">
        <v>5555</v>
      </c>
      <c r="F220" s="31" t="s">
        <v>4808</v>
      </c>
      <c r="G220" s="31" t="s">
        <v>5556</v>
      </c>
      <c r="H220" s="31">
        <v>1694</v>
      </c>
      <c r="I220" s="31">
        <v>1752</v>
      </c>
      <c r="J220" t="s">
        <v>5971</v>
      </c>
      <c r="K220" t="s">
        <v>5977</v>
      </c>
    </row>
    <row r="221" spans="1:11" ht="15" thickBot="1" x14ac:dyDescent="0.35">
      <c r="A221" t="s">
        <v>4490</v>
      </c>
      <c r="B221" s="29" t="s">
        <v>4491</v>
      </c>
      <c r="C221" s="31" t="s">
        <v>5557</v>
      </c>
      <c r="D221" s="31" t="s">
        <v>190</v>
      </c>
      <c r="E221" s="31" t="s">
        <v>5558</v>
      </c>
      <c r="F221" s="31"/>
      <c r="G221" s="31" t="s">
        <v>5559</v>
      </c>
      <c r="H221" s="31">
        <v>1662</v>
      </c>
      <c r="I221" s="31">
        <v>1742</v>
      </c>
      <c r="J221" t="s">
        <v>5971</v>
      </c>
      <c r="K221" t="s">
        <v>5978</v>
      </c>
    </row>
    <row r="222" spans="1:11" ht="15" thickBot="1" x14ac:dyDescent="0.35">
      <c r="A222" t="s">
        <v>4492</v>
      </c>
      <c r="B222" s="29" t="s">
        <v>4493</v>
      </c>
      <c r="C222" s="31">
        <v>1629</v>
      </c>
      <c r="D222" s="31" t="s">
        <v>5560</v>
      </c>
      <c r="E222" s="31">
        <v>1669</v>
      </c>
      <c r="F222" s="31" t="s">
        <v>5561</v>
      </c>
      <c r="G222" s="31" t="s">
        <v>5562</v>
      </c>
      <c r="H222" s="31">
        <v>1629</v>
      </c>
      <c r="I222" s="31">
        <v>1669</v>
      </c>
      <c r="J222" t="s">
        <v>5971</v>
      </c>
      <c r="K222" t="s">
        <v>5979</v>
      </c>
    </row>
    <row r="223" spans="1:11" ht="15" thickBot="1" x14ac:dyDescent="0.35">
      <c r="A223" t="s">
        <v>4494</v>
      </c>
      <c r="B223" s="29" t="s">
        <v>4495</v>
      </c>
      <c r="C223" s="31" t="s">
        <v>5563</v>
      </c>
      <c r="D223" s="31" t="s">
        <v>4793</v>
      </c>
      <c r="E223" s="31" t="s">
        <v>5564</v>
      </c>
      <c r="F223" s="31" t="s">
        <v>169</v>
      </c>
      <c r="G223" s="31" t="s">
        <v>5565</v>
      </c>
      <c r="H223" s="31">
        <v>1725</v>
      </c>
      <c r="I223" s="31">
        <v>1776</v>
      </c>
      <c r="J223" t="s">
        <v>5971</v>
      </c>
      <c r="K223" t="s">
        <v>5955</v>
      </c>
    </row>
    <row r="224" spans="1:11" ht="15" thickBot="1" x14ac:dyDescent="0.35">
      <c r="A224" t="s">
        <v>4496</v>
      </c>
      <c r="B224" s="29" t="s">
        <v>4497</v>
      </c>
      <c r="C224" s="31">
        <v>1595</v>
      </c>
      <c r="D224" s="31" t="s">
        <v>5566</v>
      </c>
      <c r="E224" s="31"/>
      <c r="F224" s="31" t="s">
        <v>5567</v>
      </c>
      <c r="G224" s="31" t="s">
        <v>5568</v>
      </c>
      <c r="H224" s="31">
        <v>1595</v>
      </c>
      <c r="I224" s="31" t="s">
        <v>4982</v>
      </c>
      <c r="J224" t="s">
        <v>5980</v>
      </c>
      <c r="K224" t="s">
        <v>5981</v>
      </c>
    </row>
    <row r="225" spans="1:11" ht="15" thickBot="1" x14ac:dyDescent="0.35">
      <c r="A225" t="s">
        <v>4498</v>
      </c>
      <c r="B225" s="29" t="s">
        <v>4499</v>
      </c>
      <c r="C225" s="31"/>
      <c r="D225" s="31"/>
      <c r="E225" s="31">
        <v>1691</v>
      </c>
      <c r="F225" s="31" t="s">
        <v>3816</v>
      </c>
      <c r="G225" s="31" t="s">
        <v>5521</v>
      </c>
      <c r="H225" s="31" t="s">
        <v>4982</v>
      </c>
      <c r="I225" s="31">
        <v>1691</v>
      </c>
      <c r="J225" t="s">
        <v>5966</v>
      </c>
      <c r="K225" t="s">
        <v>5982</v>
      </c>
    </row>
    <row r="226" spans="1:11" ht="15" thickBot="1" x14ac:dyDescent="0.35">
      <c r="A226" t="s">
        <v>4500</v>
      </c>
      <c r="B226" s="29" t="s">
        <v>4501</v>
      </c>
      <c r="C226" s="31" t="s">
        <v>5569</v>
      </c>
      <c r="D226" s="31" t="s">
        <v>5273</v>
      </c>
      <c r="E226" s="31" t="s">
        <v>5570</v>
      </c>
      <c r="F226" s="31" t="s">
        <v>5571</v>
      </c>
      <c r="G226" s="31" t="s">
        <v>5572</v>
      </c>
      <c r="H226" s="31">
        <v>1603</v>
      </c>
      <c r="I226" s="31">
        <v>1697</v>
      </c>
      <c r="J226" t="s">
        <v>5983</v>
      </c>
      <c r="K226" t="s">
        <v>5984</v>
      </c>
    </row>
    <row r="227" spans="1:11" ht="15" thickBot="1" x14ac:dyDescent="0.35">
      <c r="A227" t="s">
        <v>4502</v>
      </c>
      <c r="B227" s="29" t="s">
        <v>4503</v>
      </c>
      <c r="C227" s="31" t="s">
        <v>5573</v>
      </c>
      <c r="D227" s="31" t="s">
        <v>5574</v>
      </c>
      <c r="E227" s="31" t="s">
        <v>5575</v>
      </c>
      <c r="F227" s="31" t="s">
        <v>3855</v>
      </c>
      <c r="G227" s="31" t="s">
        <v>5576</v>
      </c>
      <c r="H227" s="31">
        <v>1715</v>
      </c>
      <c r="I227" s="31">
        <v>1753</v>
      </c>
      <c r="J227" t="s">
        <v>5985</v>
      </c>
      <c r="K227" t="s">
        <v>5986</v>
      </c>
    </row>
    <row r="228" spans="1:11" ht="15" thickBot="1" x14ac:dyDescent="0.35">
      <c r="A228" t="s">
        <v>4057</v>
      </c>
      <c r="B228" s="29" t="s">
        <v>4128</v>
      </c>
      <c r="C228" s="31" t="s">
        <v>5577</v>
      </c>
      <c r="D228" s="31" t="s">
        <v>5578</v>
      </c>
      <c r="E228" s="31" t="s">
        <v>5579</v>
      </c>
      <c r="F228" s="31" t="s">
        <v>5580</v>
      </c>
      <c r="G228" s="31" t="s">
        <v>5581</v>
      </c>
      <c r="H228" s="31">
        <v>1712</v>
      </c>
      <c r="I228" s="31">
        <v>1779</v>
      </c>
      <c r="J228" t="s">
        <v>4712</v>
      </c>
      <c r="K228" t="s">
        <v>5987</v>
      </c>
    </row>
    <row r="229" spans="1:11" ht="15" thickBot="1" x14ac:dyDescent="0.35">
      <c r="A229" t="s">
        <v>4504</v>
      </c>
      <c r="B229" s="29" t="s">
        <v>4505</v>
      </c>
      <c r="C229" s="31"/>
      <c r="D229" s="31"/>
      <c r="E229" s="31">
        <v>1774</v>
      </c>
      <c r="F229" s="31"/>
      <c r="G229" s="31" t="s">
        <v>5582</v>
      </c>
      <c r="H229" s="31" t="s">
        <v>4982</v>
      </c>
      <c r="I229" s="31">
        <v>1774</v>
      </c>
      <c r="J229" t="s">
        <v>4721</v>
      </c>
      <c r="K229" t="s">
        <v>5988</v>
      </c>
    </row>
    <row r="230" spans="1:11" ht="15" thickBot="1" x14ac:dyDescent="0.35">
      <c r="A230" t="s">
        <v>4646</v>
      </c>
      <c r="B230" s="29" t="s">
        <v>4506</v>
      </c>
      <c r="C230" s="31" t="s">
        <v>5583</v>
      </c>
      <c r="D230" s="31" t="s">
        <v>5584</v>
      </c>
      <c r="E230" s="31" t="s">
        <v>5585</v>
      </c>
      <c r="F230" s="31" t="s">
        <v>5586</v>
      </c>
      <c r="G230" s="31" t="s">
        <v>5587</v>
      </c>
      <c r="H230" s="31">
        <v>1713</v>
      </c>
      <c r="I230" s="31">
        <v>1769</v>
      </c>
      <c r="J230" t="s">
        <v>4741</v>
      </c>
      <c r="K230" t="s">
        <v>5847</v>
      </c>
    </row>
    <row r="231" spans="1:11" ht="15" thickBot="1" x14ac:dyDescent="0.35">
      <c r="A231" t="s">
        <v>4507</v>
      </c>
      <c r="B231" s="29" t="s">
        <v>4508</v>
      </c>
      <c r="C231" s="31" t="s">
        <v>5588</v>
      </c>
      <c r="D231" s="31" t="s">
        <v>5589</v>
      </c>
      <c r="E231" s="31" t="s">
        <v>5590</v>
      </c>
      <c r="F231" s="31" t="s">
        <v>4808</v>
      </c>
      <c r="G231" s="31" t="s">
        <v>5591</v>
      </c>
      <c r="H231" s="31">
        <v>1741</v>
      </c>
      <c r="I231" s="31">
        <v>1784</v>
      </c>
      <c r="J231" t="s">
        <v>5956</v>
      </c>
      <c r="K231" t="s">
        <v>5989</v>
      </c>
    </row>
    <row r="232" spans="1:11" ht="15" thickBot="1" x14ac:dyDescent="0.35">
      <c r="A232" t="s">
        <v>4509</v>
      </c>
      <c r="B232" s="30" t="s">
        <v>4510</v>
      </c>
      <c r="C232" s="32" t="s">
        <v>5592</v>
      </c>
      <c r="D232" s="32" t="s">
        <v>5593</v>
      </c>
      <c r="E232" s="32" t="s">
        <v>5594</v>
      </c>
      <c r="F232" s="32" t="s">
        <v>190</v>
      </c>
      <c r="G232" s="32" t="s">
        <v>5595</v>
      </c>
      <c r="H232" s="31">
        <v>1681</v>
      </c>
      <c r="I232" s="31">
        <v>1751</v>
      </c>
      <c r="J232" t="s">
        <v>5915</v>
      </c>
      <c r="K232" t="s">
        <v>5990</v>
      </c>
    </row>
    <row r="233" spans="1:11" ht="15" thickBot="1" x14ac:dyDescent="0.35">
      <c r="A233" t="s">
        <v>4511</v>
      </c>
      <c r="B233" s="29" t="s">
        <v>4512</v>
      </c>
      <c r="C233" s="31">
        <v>1669</v>
      </c>
      <c r="D233" s="31" t="s">
        <v>5596</v>
      </c>
      <c r="E233" s="31" t="s">
        <v>5597</v>
      </c>
      <c r="F233" s="31" t="s">
        <v>3396</v>
      </c>
      <c r="G233" s="31" t="s">
        <v>5598</v>
      </c>
      <c r="H233" s="31">
        <v>1669</v>
      </c>
      <c r="I233" s="31">
        <v>1749</v>
      </c>
      <c r="J233" t="s">
        <v>5915</v>
      </c>
      <c r="K233" t="s">
        <v>5991</v>
      </c>
    </row>
    <row r="234" spans="1:11" ht="15" thickBot="1" x14ac:dyDescent="0.35">
      <c r="A234" t="s">
        <v>4513</v>
      </c>
      <c r="B234" s="29" t="s">
        <v>4514</v>
      </c>
      <c r="C234" s="31" t="s">
        <v>5599</v>
      </c>
      <c r="D234" s="31" t="s">
        <v>5600</v>
      </c>
      <c r="E234" s="31" t="s">
        <v>5601</v>
      </c>
      <c r="F234" s="31" t="s">
        <v>5313</v>
      </c>
      <c r="G234" s="31" t="s">
        <v>5602</v>
      </c>
      <c r="H234" s="31">
        <v>1685</v>
      </c>
      <c r="I234" s="31">
        <v>1757</v>
      </c>
      <c r="J234" t="s">
        <v>5927</v>
      </c>
      <c r="K234" t="s">
        <v>5992</v>
      </c>
    </row>
    <row r="235" spans="1:11" ht="15" thickBot="1" x14ac:dyDescent="0.35">
      <c r="A235" t="s">
        <v>4515</v>
      </c>
      <c r="B235" s="29" t="s">
        <v>4516</v>
      </c>
      <c r="C235" s="31" t="s">
        <v>5603</v>
      </c>
      <c r="D235" s="31" t="s">
        <v>3097</v>
      </c>
      <c r="E235" s="31" t="s">
        <v>5604</v>
      </c>
      <c r="F235" s="31" t="s">
        <v>5605</v>
      </c>
      <c r="G235" s="31" t="s">
        <v>5606</v>
      </c>
      <c r="H235" s="31">
        <v>1707</v>
      </c>
      <c r="I235" s="31">
        <v>1785</v>
      </c>
      <c r="J235" t="s">
        <v>5993</v>
      </c>
      <c r="K235" t="s">
        <v>4700</v>
      </c>
    </row>
    <row r="236" spans="1:11" ht="15" thickBot="1" x14ac:dyDescent="0.35">
      <c r="A236" t="s">
        <v>4517</v>
      </c>
      <c r="B236" s="29" t="s">
        <v>4518</v>
      </c>
      <c r="C236" s="31" t="s">
        <v>5607</v>
      </c>
      <c r="D236" s="31" t="s">
        <v>5608</v>
      </c>
      <c r="E236" s="31">
        <v>1658</v>
      </c>
      <c r="F236" s="31"/>
      <c r="G236" s="31" t="s">
        <v>5609</v>
      </c>
      <c r="H236" s="31">
        <v>1590</v>
      </c>
      <c r="I236" s="31">
        <v>1658</v>
      </c>
      <c r="J236" t="s">
        <v>5994</v>
      </c>
      <c r="K236" t="s">
        <v>5995</v>
      </c>
    </row>
    <row r="237" spans="1:11" ht="15" thickBot="1" x14ac:dyDescent="0.35">
      <c r="A237" t="s">
        <v>4519</v>
      </c>
      <c r="B237" s="29" t="s">
        <v>4520</v>
      </c>
      <c r="C237" s="31" t="s">
        <v>5610</v>
      </c>
      <c r="D237" s="31" t="s">
        <v>4808</v>
      </c>
      <c r="E237" s="31" t="s">
        <v>5611</v>
      </c>
      <c r="F237" s="31" t="s">
        <v>5612</v>
      </c>
      <c r="G237" s="31" t="s">
        <v>5613</v>
      </c>
      <c r="H237" s="31">
        <v>1698</v>
      </c>
      <c r="I237" s="31">
        <v>1780</v>
      </c>
      <c r="J237" t="s">
        <v>5988</v>
      </c>
      <c r="K237" t="s">
        <v>5996</v>
      </c>
    </row>
    <row r="238" spans="1:11" ht="15" thickBot="1" x14ac:dyDescent="0.35">
      <c r="A238" t="s">
        <v>4109</v>
      </c>
      <c r="B238" s="30" t="s">
        <v>4143</v>
      </c>
      <c r="C238" s="32">
        <v>1730</v>
      </c>
      <c r="D238" s="32" t="s">
        <v>297</v>
      </c>
      <c r="E238" s="32" t="s">
        <v>5614</v>
      </c>
      <c r="F238" s="32" t="s">
        <v>5615</v>
      </c>
      <c r="G238" s="32" t="s">
        <v>5616</v>
      </c>
      <c r="H238" s="31">
        <v>1730</v>
      </c>
      <c r="I238" s="31">
        <v>1812</v>
      </c>
      <c r="J238" t="s">
        <v>5988</v>
      </c>
      <c r="K238" t="s">
        <v>5997</v>
      </c>
    </row>
    <row r="239" spans="1:11" ht="15" thickBot="1" x14ac:dyDescent="0.35">
      <c r="A239" t="s">
        <v>4521</v>
      </c>
      <c r="B239" s="29" t="s">
        <v>4522</v>
      </c>
      <c r="C239" s="31">
        <v>1659</v>
      </c>
      <c r="D239" s="31" t="s">
        <v>5617</v>
      </c>
      <c r="E239" s="31" t="s">
        <v>5618</v>
      </c>
      <c r="F239" s="31" t="s">
        <v>5617</v>
      </c>
      <c r="G239" s="31" t="s">
        <v>5619</v>
      </c>
      <c r="H239" s="31">
        <v>1659</v>
      </c>
      <c r="I239" s="31">
        <v>1730</v>
      </c>
      <c r="J239" t="s">
        <v>5988</v>
      </c>
      <c r="K239" t="s">
        <v>5998</v>
      </c>
    </row>
    <row r="240" spans="1:11" ht="15" thickBot="1" x14ac:dyDescent="0.35">
      <c r="A240" t="s">
        <v>4110</v>
      </c>
      <c r="B240" s="30" t="s">
        <v>4523</v>
      </c>
      <c r="C240" s="32" t="s">
        <v>5620</v>
      </c>
      <c r="D240" s="32"/>
      <c r="E240" s="32" t="s">
        <v>5621</v>
      </c>
      <c r="F240" s="32" t="s">
        <v>3303</v>
      </c>
      <c r="G240" s="32" t="s">
        <v>5622</v>
      </c>
      <c r="H240" s="31">
        <v>1668</v>
      </c>
      <c r="I240" s="31">
        <v>1737</v>
      </c>
      <c r="J240" t="s">
        <v>5988</v>
      </c>
      <c r="K240" t="s">
        <v>5999</v>
      </c>
    </row>
    <row r="241" spans="1:11" ht="15" thickBot="1" x14ac:dyDescent="0.35">
      <c r="A241" t="s">
        <v>4524</v>
      </c>
      <c r="B241" s="29" t="s">
        <v>4525</v>
      </c>
      <c r="C241" s="31"/>
      <c r="D241" s="31" t="s">
        <v>5623</v>
      </c>
      <c r="E241" s="31" t="s">
        <v>5624</v>
      </c>
      <c r="F241" s="31" t="s">
        <v>5625</v>
      </c>
      <c r="G241" s="31" t="s">
        <v>5626</v>
      </c>
      <c r="H241" s="31" t="s">
        <v>4982</v>
      </c>
      <c r="I241" s="31">
        <v>1718</v>
      </c>
      <c r="J241" t="s">
        <v>5988</v>
      </c>
      <c r="K241" t="s">
        <v>6000</v>
      </c>
    </row>
    <row r="242" spans="1:11" ht="15" thickBot="1" x14ac:dyDescent="0.35">
      <c r="A242" t="s">
        <v>4526</v>
      </c>
      <c r="B242" s="29" t="s">
        <v>4527</v>
      </c>
      <c r="C242" s="31" t="s">
        <v>5627</v>
      </c>
      <c r="D242" s="31" t="s">
        <v>297</v>
      </c>
      <c r="E242" s="31" t="s">
        <v>5628</v>
      </c>
      <c r="F242" s="31" t="s">
        <v>190</v>
      </c>
      <c r="G242" s="31" t="s">
        <v>5629</v>
      </c>
      <c r="H242" s="31">
        <v>1635</v>
      </c>
      <c r="I242" s="31">
        <v>1689</v>
      </c>
      <c r="J242" t="s">
        <v>5988</v>
      </c>
      <c r="K242" t="s">
        <v>6001</v>
      </c>
    </row>
    <row r="243" spans="1:11" ht="15" thickBot="1" x14ac:dyDescent="0.35">
      <c r="A243" t="s">
        <v>4111</v>
      </c>
      <c r="B243" s="30" t="s">
        <v>4144</v>
      </c>
      <c r="C243" s="32" t="s">
        <v>5630</v>
      </c>
      <c r="D243" s="32"/>
      <c r="E243" s="32" t="s">
        <v>5631</v>
      </c>
      <c r="F243" s="32" t="s">
        <v>5632</v>
      </c>
      <c r="G243" s="32" t="s">
        <v>5633</v>
      </c>
      <c r="H243" s="31">
        <v>1570</v>
      </c>
      <c r="I243" s="31">
        <v>1619</v>
      </c>
      <c r="J243" t="s">
        <v>5988</v>
      </c>
      <c r="K243" t="s">
        <v>6002</v>
      </c>
    </row>
    <row r="244" spans="1:11" ht="15" thickBot="1" x14ac:dyDescent="0.35">
      <c r="A244" t="s">
        <v>4528</v>
      </c>
      <c r="B244" s="29" t="s">
        <v>4529</v>
      </c>
      <c r="C244" s="31" t="s">
        <v>5634</v>
      </c>
      <c r="D244" s="31" t="s">
        <v>5635</v>
      </c>
      <c r="E244" s="31" t="s">
        <v>5636</v>
      </c>
      <c r="F244" s="31" t="s">
        <v>5637</v>
      </c>
      <c r="G244" s="31" t="s">
        <v>5638</v>
      </c>
      <c r="H244" s="31">
        <v>1623</v>
      </c>
      <c r="I244" s="31">
        <v>1699</v>
      </c>
      <c r="J244" t="s">
        <v>5988</v>
      </c>
      <c r="K244" t="s">
        <v>6003</v>
      </c>
    </row>
    <row r="245" spans="1:11" ht="15" thickBot="1" x14ac:dyDescent="0.35">
      <c r="A245" t="s">
        <v>4530</v>
      </c>
      <c r="B245" s="29" t="s">
        <v>4531</v>
      </c>
      <c r="C245" s="31">
        <v>1634</v>
      </c>
      <c r="D245" s="31"/>
      <c r="E245" s="31" t="s">
        <v>5639</v>
      </c>
      <c r="F245" s="31" t="s">
        <v>190</v>
      </c>
      <c r="G245" s="31" t="s">
        <v>5640</v>
      </c>
      <c r="H245" s="31">
        <v>1634</v>
      </c>
      <c r="I245" s="31">
        <v>1715</v>
      </c>
      <c r="J245" t="s">
        <v>5988</v>
      </c>
      <c r="K245" t="s">
        <v>6004</v>
      </c>
    </row>
    <row r="246" spans="1:11" ht="15" thickBot="1" x14ac:dyDescent="0.35">
      <c r="A246" t="s">
        <v>4532</v>
      </c>
      <c r="B246" s="29" t="s">
        <v>4533</v>
      </c>
      <c r="C246" s="31" t="s">
        <v>5641</v>
      </c>
      <c r="D246" s="31" t="s">
        <v>5642</v>
      </c>
      <c r="E246" s="31" t="s">
        <v>5643</v>
      </c>
      <c r="F246" s="31" t="s">
        <v>5327</v>
      </c>
      <c r="G246" s="31" t="s">
        <v>5644</v>
      </c>
      <c r="H246" s="31">
        <v>1576</v>
      </c>
      <c r="I246" s="31">
        <v>1653</v>
      </c>
      <c r="J246" t="s">
        <v>5988</v>
      </c>
      <c r="K246" t="s">
        <v>5900</v>
      </c>
    </row>
    <row r="247" spans="1:11" ht="15" thickBot="1" x14ac:dyDescent="0.35">
      <c r="A247" t="s">
        <v>4534</v>
      </c>
      <c r="B247" s="29" t="s">
        <v>4535</v>
      </c>
      <c r="C247" s="31"/>
      <c r="D247" s="31"/>
      <c r="E247" s="31" t="s">
        <v>5645</v>
      </c>
      <c r="F247" s="31" t="s">
        <v>5560</v>
      </c>
      <c r="G247" s="31" t="s">
        <v>5646</v>
      </c>
      <c r="H247" s="31" t="s">
        <v>4982</v>
      </c>
      <c r="I247" s="31">
        <v>1678</v>
      </c>
      <c r="J247" t="s">
        <v>5988</v>
      </c>
      <c r="K247" t="s">
        <v>6005</v>
      </c>
    </row>
    <row r="248" spans="1:11" ht="15" thickBot="1" x14ac:dyDescent="0.35">
      <c r="A248" t="s">
        <v>4536</v>
      </c>
      <c r="B248" s="29" t="s">
        <v>4537</v>
      </c>
      <c r="C248" s="31" t="s">
        <v>5647</v>
      </c>
      <c r="D248" s="31" t="s">
        <v>5648</v>
      </c>
      <c r="E248" s="31" t="s">
        <v>5649</v>
      </c>
      <c r="F248" s="31" t="s">
        <v>5648</v>
      </c>
      <c r="G248" s="31" t="s">
        <v>5650</v>
      </c>
      <c r="H248" s="31">
        <v>1699</v>
      </c>
      <c r="I248" s="31">
        <v>1774</v>
      </c>
      <c r="J248" t="s">
        <v>5988</v>
      </c>
      <c r="K248" t="s">
        <v>6006</v>
      </c>
    </row>
    <row r="249" spans="1:11" ht="15" thickBot="1" x14ac:dyDescent="0.35">
      <c r="A249" t="s">
        <v>2891</v>
      </c>
      <c r="B249" s="29" t="s">
        <v>2892</v>
      </c>
      <c r="C249" s="31" t="s">
        <v>5651</v>
      </c>
      <c r="D249" s="31" t="s">
        <v>3820</v>
      </c>
      <c r="E249" s="31" t="s">
        <v>3821</v>
      </c>
      <c r="F249" s="31" t="s">
        <v>3822</v>
      </c>
      <c r="G249" s="31" t="s">
        <v>5652</v>
      </c>
      <c r="H249" s="31">
        <v>1718</v>
      </c>
      <c r="I249" s="31">
        <v>1787</v>
      </c>
      <c r="J249" t="s">
        <v>5988</v>
      </c>
      <c r="K249" t="s">
        <v>6007</v>
      </c>
    </row>
    <row r="250" spans="1:11" ht="15" thickBot="1" x14ac:dyDescent="0.35">
      <c r="A250" t="s">
        <v>4112</v>
      </c>
      <c r="B250" s="30" t="s">
        <v>4145</v>
      </c>
      <c r="C250" s="32"/>
      <c r="D250" s="32" t="s">
        <v>5213</v>
      </c>
      <c r="E250" s="32">
        <v>1622</v>
      </c>
      <c r="F250" s="32" t="s">
        <v>5653</v>
      </c>
      <c r="G250" s="32" t="s">
        <v>5654</v>
      </c>
      <c r="H250" s="31" t="s">
        <v>4982</v>
      </c>
      <c r="I250" s="31">
        <v>1622</v>
      </c>
      <c r="J250" t="s">
        <v>5988</v>
      </c>
      <c r="K250" t="s">
        <v>6008</v>
      </c>
    </row>
    <row r="251" spans="1:11" ht="15" thickBot="1" x14ac:dyDescent="0.35">
      <c r="A251" t="s">
        <v>4538</v>
      </c>
      <c r="B251" s="29" t="s">
        <v>4539</v>
      </c>
      <c r="C251" s="31">
        <v>1618</v>
      </c>
      <c r="D251" s="31"/>
      <c r="E251" s="31" t="s">
        <v>5655</v>
      </c>
      <c r="F251" s="31" t="s">
        <v>5656</v>
      </c>
      <c r="G251" s="31" t="s">
        <v>5657</v>
      </c>
      <c r="H251" s="31">
        <v>1618</v>
      </c>
      <c r="I251" s="31">
        <v>1670</v>
      </c>
      <c r="J251" t="s">
        <v>5988</v>
      </c>
      <c r="K251" t="s">
        <v>4709</v>
      </c>
    </row>
    <row r="252" spans="1:11" ht="15" thickBot="1" x14ac:dyDescent="0.35">
      <c r="A252" t="s">
        <v>4540</v>
      </c>
      <c r="B252" s="29" t="s">
        <v>4541</v>
      </c>
      <c r="C252" s="31">
        <v>1610</v>
      </c>
      <c r="D252" s="31" t="s">
        <v>5658</v>
      </c>
      <c r="E252" s="31" t="s">
        <v>5659</v>
      </c>
      <c r="F252" s="31" t="s">
        <v>5660</v>
      </c>
      <c r="G252" s="31" t="s">
        <v>5661</v>
      </c>
      <c r="H252" s="31">
        <v>1610</v>
      </c>
      <c r="I252" s="31">
        <v>1652</v>
      </c>
      <c r="J252" t="s">
        <v>5988</v>
      </c>
      <c r="K252" t="s">
        <v>5948</v>
      </c>
    </row>
    <row r="253" spans="1:11" ht="15" thickBot="1" x14ac:dyDescent="0.35">
      <c r="A253" t="s">
        <v>4542</v>
      </c>
      <c r="B253" s="29" t="s">
        <v>4543</v>
      </c>
      <c r="C253" s="31">
        <v>1668</v>
      </c>
      <c r="D253" s="31" t="s">
        <v>5662</v>
      </c>
      <c r="E253" s="31" t="s">
        <v>5647</v>
      </c>
      <c r="F253" s="31" t="s">
        <v>5663</v>
      </c>
      <c r="G253" s="31" t="s">
        <v>5664</v>
      </c>
      <c r="H253" s="31">
        <v>1668</v>
      </c>
      <c r="I253" s="31">
        <v>1699</v>
      </c>
      <c r="J253" t="s">
        <v>5988</v>
      </c>
      <c r="K253" t="s">
        <v>5876</v>
      </c>
    </row>
    <row r="254" spans="1:11" ht="15" thickBot="1" x14ac:dyDescent="0.35">
      <c r="A254" t="s">
        <v>4544</v>
      </c>
      <c r="B254" s="29" t="s">
        <v>4545</v>
      </c>
      <c r="C254" s="31" t="s">
        <v>5665</v>
      </c>
      <c r="D254" s="31" t="s">
        <v>5666</v>
      </c>
      <c r="E254" s="31" t="s">
        <v>5667</v>
      </c>
      <c r="F254" s="31" t="s">
        <v>5668</v>
      </c>
      <c r="G254" s="31" t="s">
        <v>5669</v>
      </c>
      <c r="H254" s="31">
        <v>1618</v>
      </c>
      <c r="I254" s="31">
        <v>1706</v>
      </c>
      <c r="J254" t="s">
        <v>5988</v>
      </c>
      <c r="K254" t="s">
        <v>6009</v>
      </c>
    </row>
    <row r="255" spans="1:11" ht="15" thickBot="1" x14ac:dyDescent="0.35">
      <c r="A255" t="s">
        <v>4546</v>
      </c>
      <c r="B255" s="29" t="s">
        <v>4547</v>
      </c>
      <c r="C255" s="31" t="s">
        <v>5670</v>
      </c>
      <c r="D255" s="31" t="s">
        <v>5671</v>
      </c>
      <c r="E255" s="31" t="s">
        <v>5672</v>
      </c>
      <c r="F255" s="31" t="s">
        <v>5673</v>
      </c>
      <c r="G255" s="31" t="s">
        <v>5674</v>
      </c>
      <c r="H255" s="31">
        <v>1711</v>
      </c>
      <c r="I255" s="31">
        <v>1780</v>
      </c>
      <c r="J255" t="s">
        <v>5988</v>
      </c>
      <c r="K255" t="s">
        <v>6010</v>
      </c>
    </row>
    <row r="256" spans="1:11" ht="15" thickBot="1" x14ac:dyDescent="0.35">
      <c r="A256" t="s">
        <v>4548</v>
      </c>
      <c r="B256" s="29" t="s">
        <v>4549</v>
      </c>
      <c r="C256" s="31">
        <v>1623</v>
      </c>
      <c r="D256" s="31" t="s">
        <v>224</v>
      </c>
      <c r="E256" s="31">
        <v>1694</v>
      </c>
      <c r="F256" s="31"/>
      <c r="G256" s="31" t="s">
        <v>5675</v>
      </c>
      <c r="H256" s="31">
        <v>1623</v>
      </c>
      <c r="I256" s="31">
        <v>1694</v>
      </c>
      <c r="J256" t="s">
        <v>5988</v>
      </c>
      <c r="K256" t="s">
        <v>6011</v>
      </c>
    </row>
    <row r="257" spans="1:11" ht="15" thickBot="1" x14ac:dyDescent="0.35">
      <c r="A257" t="s">
        <v>4550</v>
      </c>
      <c r="B257" s="29" t="s">
        <v>4551</v>
      </c>
      <c r="C257" s="31" t="s">
        <v>5676</v>
      </c>
      <c r="D257" s="31" t="s">
        <v>5677</v>
      </c>
      <c r="E257" s="31" t="s">
        <v>5678</v>
      </c>
      <c r="F257" s="31" t="s">
        <v>190</v>
      </c>
      <c r="G257" s="31" t="s">
        <v>5679</v>
      </c>
      <c r="H257" s="31">
        <v>1645</v>
      </c>
      <c r="I257" s="31">
        <v>1714</v>
      </c>
      <c r="J257" t="s">
        <v>5988</v>
      </c>
      <c r="K257" t="s">
        <v>6012</v>
      </c>
    </row>
    <row r="258" spans="1:11" ht="15" thickBot="1" x14ac:dyDescent="0.35">
      <c r="A258" t="s">
        <v>4113</v>
      </c>
      <c r="B258" s="30" t="s">
        <v>4552</v>
      </c>
      <c r="C258" s="32" t="s">
        <v>5085</v>
      </c>
      <c r="D258" s="32" t="s">
        <v>5680</v>
      </c>
      <c r="E258" s="32" t="s">
        <v>5681</v>
      </c>
      <c r="F258" s="32" t="s">
        <v>5682</v>
      </c>
      <c r="G258" s="32" t="s">
        <v>5683</v>
      </c>
      <c r="H258" s="31">
        <v>1690</v>
      </c>
      <c r="I258" s="31">
        <v>1750</v>
      </c>
      <c r="J258" t="s">
        <v>5988</v>
      </c>
      <c r="K258" t="s">
        <v>6013</v>
      </c>
    </row>
    <row r="259" spans="1:11" ht="15" thickBot="1" x14ac:dyDescent="0.35">
      <c r="A259" t="s">
        <v>4553</v>
      </c>
      <c r="B259" s="29" t="s">
        <v>4554</v>
      </c>
      <c r="C259" s="31" t="s">
        <v>5684</v>
      </c>
      <c r="D259" s="31" t="s">
        <v>5192</v>
      </c>
      <c r="E259" s="31" t="s">
        <v>5685</v>
      </c>
      <c r="F259" s="31" t="s">
        <v>269</v>
      </c>
      <c r="G259" s="31" t="s">
        <v>5686</v>
      </c>
      <c r="H259" s="31">
        <v>1640</v>
      </c>
      <c r="I259" s="31">
        <v>1694</v>
      </c>
      <c r="J259" t="s">
        <v>5988</v>
      </c>
      <c r="K259" t="s">
        <v>4702</v>
      </c>
    </row>
    <row r="260" spans="1:11" ht="15" thickBot="1" x14ac:dyDescent="0.35">
      <c r="A260" t="s">
        <v>4555</v>
      </c>
      <c r="B260" s="29" t="s">
        <v>4556</v>
      </c>
      <c r="C260" s="31"/>
      <c r="D260" s="31"/>
      <c r="E260" s="31" t="s">
        <v>5687</v>
      </c>
      <c r="F260" s="31"/>
      <c r="G260" s="31" t="s">
        <v>5688</v>
      </c>
      <c r="H260" s="31" t="s">
        <v>4982</v>
      </c>
      <c r="I260" s="31">
        <v>1685</v>
      </c>
      <c r="J260" t="s">
        <v>5988</v>
      </c>
      <c r="K260" t="s">
        <v>6014</v>
      </c>
    </row>
    <row r="261" spans="1:11" ht="15" thickBot="1" x14ac:dyDescent="0.35">
      <c r="A261" t="s">
        <v>4557</v>
      </c>
      <c r="B261" s="29" t="s">
        <v>4558</v>
      </c>
      <c r="C261" s="31">
        <v>1632</v>
      </c>
      <c r="D261" s="31"/>
      <c r="E261" s="31" t="s">
        <v>5689</v>
      </c>
      <c r="F261" s="31"/>
      <c r="G261" s="31" t="s">
        <v>5690</v>
      </c>
      <c r="H261" s="31">
        <v>1632</v>
      </c>
      <c r="I261" s="31">
        <v>1679</v>
      </c>
      <c r="J261" t="s">
        <v>5988</v>
      </c>
      <c r="K261" t="s">
        <v>6015</v>
      </c>
    </row>
    <row r="262" spans="1:11" ht="15" thickBot="1" x14ac:dyDescent="0.35">
      <c r="A262" t="s">
        <v>4559</v>
      </c>
      <c r="B262" s="29" t="s">
        <v>4560</v>
      </c>
      <c r="C262" s="31" t="s">
        <v>5691</v>
      </c>
      <c r="D262" s="31" t="s">
        <v>5692</v>
      </c>
      <c r="E262" s="31" t="s">
        <v>5693</v>
      </c>
      <c r="F262" s="31" t="s">
        <v>5694</v>
      </c>
      <c r="G262" s="31" t="s">
        <v>5695</v>
      </c>
      <c r="H262" s="31">
        <v>1702</v>
      </c>
      <c r="I262" s="31">
        <v>1775</v>
      </c>
      <c r="J262" t="s">
        <v>5988</v>
      </c>
      <c r="K262" t="s">
        <v>5883</v>
      </c>
    </row>
    <row r="263" spans="1:11" ht="15" thickBot="1" x14ac:dyDescent="0.35">
      <c r="A263" t="s">
        <v>4561</v>
      </c>
      <c r="B263" s="29" t="s">
        <v>4562</v>
      </c>
      <c r="C263" s="31" t="s">
        <v>5697</v>
      </c>
      <c r="D263" s="31"/>
      <c r="E263" s="31" t="s">
        <v>5696</v>
      </c>
      <c r="F263" s="31" t="s">
        <v>3813</v>
      </c>
      <c r="G263" s="31" t="s">
        <v>5698</v>
      </c>
      <c r="H263" s="31">
        <v>1722</v>
      </c>
      <c r="I263" s="31">
        <v>1805</v>
      </c>
      <c r="J263" t="s">
        <v>5988</v>
      </c>
      <c r="K263" t="s">
        <v>6016</v>
      </c>
    </row>
    <row r="264" spans="1:11" ht="15" thickBot="1" x14ac:dyDescent="0.35">
      <c r="A264" t="s">
        <v>4563</v>
      </c>
      <c r="B264" s="29" t="s">
        <v>4564</v>
      </c>
      <c r="C264" s="31" t="s">
        <v>4846</v>
      </c>
      <c r="D264" s="31" t="s">
        <v>5699</v>
      </c>
      <c r="E264" s="31" t="s">
        <v>5700</v>
      </c>
      <c r="F264" s="31" t="s">
        <v>5701</v>
      </c>
      <c r="G264" s="31" t="s">
        <v>5702</v>
      </c>
      <c r="H264" s="31">
        <v>1600</v>
      </c>
      <c r="I264" s="31">
        <v>1673</v>
      </c>
      <c r="J264" t="s">
        <v>5988</v>
      </c>
      <c r="K264" t="s">
        <v>6017</v>
      </c>
    </row>
    <row r="265" spans="1:11" ht="15" thickBot="1" x14ac:dyDescent="0.35">
      <c r="A265" t="s">
        <v>4114</v>
      </c>
      <c r="B265" s="30" t="s">
        <v>4565</v>
      </c>
      <c r="C265" s="32">
        <v>1648</v>
      </c>
      <c r="D265" s="32" t="s">
        <v>3555</v>
      </c>
      <c r="E265" s="32" t="s">
        <v>5703</v>
      </c>
      <c r="F265" s="32" t="s">
        <v>3750</v>
      </c>
      <c r="G265" s="32" t="s">
        <v>5704</v>
      </c>
      <c r="H265" s="31">
        <v>1648</v>
      </c>
      <c r="I265" s="31">
        <v>1694</v>
      </c>
      <c r="J265" t="s">
        <v>5988</v>
      </c>
      <c r="K265" t="s">
        <v>5890</v>
      </c>
    </row>
    <row r="266" spans="1:11" ht="15" thickBot="1" x14ac:dyDescent="0.35">
      <c r="A266" t="s">
        <v>4566</v>
      </c>
      <c r="B266" s="29" t="s">
        <v>4567</v>
      </c>
      <c r="C266" s="31" t="s">
        <v>5705</v>
      </c>
      <c r="D266" s="31" t="s">
        <v>297</v>
      </c>
      <c r="E266" s="31">
        <v>1708</v>
      </c>
      <c r="F266" s="31" t="s">
        <v>5707</v>
      </c>
      <c r="G266" s="31" t="s">
        <v>5708</v>
      </c>
      <c r="H266" s="31" t="s">
        <v>5706</v>
      </c>
      <c r="I266" s="31">
        <v>1708</v>
      </c>
      <c r="J266" t="s">
        <v>5988</v>
      </c>
      <c r="K266" t="s">
        <v>6018</v>
      </c>
    </row>
    <row r="267" spans="1:11" ht="15" thickBot="1" x14ac:dyDescent="0.35">
      <c r="A267" t="s">
        <v>4568</v>
      </c>
      <c r="B267" s="29" t="s">
        <v>4569</v>
      </c>
      <c r="C267" s="31" t="s">
        <v>5709</v>
      </c>
      <c r="D267" s="31" t="s">
        <v>5710</v>
      </c>
      <c r="E267" s="31" t="s">
        <v>5711</v>
      </c>
      <c r="F267" s="31" t="s">
        <v>5712</v>
      </c>
      <c r="G267" s="31" t="s">
        <v>5713</v>
      </c>
      <c r="H267" s="31">
        <v>1594</v>
      </c>
      <c r="I267" s="31">
        <v>1660</v>
      </c>
      <c r="J267" t="s">
        <v>5988</v>
      </c>
      <c r="K267" t="s">
        <v>6019</v>
      </c>
    </row>
    <row r="268" spans="1:11" ht="15" thickBot="1" x14ac:dyDescent="0.35">
      <c r="A268" t="s">
        <v>4570</v>
      </c>
      <c r="B268" s="30" t="s">
        <v>4571</v>
      </c>
      <c r="C268" s="32" t="s">
        <v>5714</v>
      </c>
      <c r="D268" s="32"/>
      <c r="E268" s="32" t="s">
        <v>5715</v>
      </c>
      <c r="F268" s="32"/>
      <c r="G268" s="32" t="s">
        <v>5716</v>
      </c>
      <c r="H268" s="31">
        <v>1577</v>
      </c>
      <c r="I268" s="31">
        <v>1618</v>
      </c>
      <c r="J268" t="s">
        <v>5988</v>
      </c>
      <c r="K268" t="s">
        <v>4719</v>
      </c>
    </row>
    <row r="269" spans="1:11" ht="15" thickBot="1" x14ac:dyDescent="0.35">
      <c r="A269" t="s">
        <v>4572</v>
      </c>
      <c r="B269" s="29" t="s">
        <v>4573</v>
      </c>
      <c r="C269" s="31">
        <v>1601</v>
      </c>
      <c r="D269" s="31" t="s">
        <v>5717</v>
      </c>
      <c r="E269" s="31">
        <v>1666</v>
      </c>
      <c r="F269" s="31" t="s">
        <v>5718</v>
      </c>
      <c r="G269" s="31" t="s">
        <v>5719</v>
      </c>
      <c r="H269" s="31">
        <v>1601</v>
      </c>
      <c r="I269" s="31">
        <v>1666</v>
      </c>
      <c r="J269" t="s">
        <v>5988</v>
      </c>
      <c r="K269" t="s">
        <v>6020</v>
      </c>
    </row>
    <row r="270" spans="1:11" ht="15" thickBot="1" x14ac:dyDescent="0.35">
      <c r="A270" t="s">
        <v>4574</v>
      </c>
      <c r="B270" s="29" t="s">
        <v>4575</v>
      </c>
      <c r="C270" s="31">
        <v>1655</v>
      </c>
      <c r="D270" s="31"/>
      <c r="E270" s="31">
        <v>1688</v>
      </c>
      <c r="F270" s="31"/>
      <c r="G270" s="31" t="s">
        <v>5720</v>
      </c>
      <c r="H270" s="31">
        <v>1655</v>
      </c>
      <c r="I270" s="31">
        <v>1688</v>
      </c>
      <c r="J270" t="s">
        <v>6021</v>
      </c>
      <c r="K270" t="s">
        <v>6022</v>
      </c>
    </row>
    <row r="271" spans="1:11" ht="15" thickBot="1" x14ac:dyDescent="0.35">
      <c r="A271" t="s">
        <v>4576</v>
      </c>
      <c r="B271" s="29" t="s">
        <v>4577</v>
      </c>
      <c r="C271" s="31">
        <v>1640</v>
      </c>
      <c r="D271" s="31" t="s">
        <v>4793</v>
      </c>
      <c r="E271" s="31" t="s">
        <v>5721</v>
      </c>
      <c r="F271" s="31" t="s">
        <v>4793</v>
      </c>
      <c r="G271" s="31" t="s">
        <v>5722</v>
      </c>
      <c r="H271" s="31">
        <v>1640</v>
      </c>
      <c r="I271" s="31">
        <v>1714</v>
      </c>
      <c r="J271" t="s">
        <v>6021</v>
      </c>
      <c r="K271" t="s">
        <v>4723</v>
      </c>
    </row>
    <row r="272" spans="1:11" ht="15" thickBot="1" x14ac:dyDescent="0.35">
      <c r="A272" t="s">
        <v>4578</v>
      </c>
      <c r="B272" s="29" t="s">
        <v>4579</v>
      </c>
      <c r="C272" s="31">
        <v>1618</v>
      </c>
      <c r="D272" s="31"/>
      <c r="E272" s="31">
        <v>1639</v>
      </c>
      <c r="F272" s="31"/>
      <c r="G272" s="31" t="s">
        <v>5723</v>
      </c>
      <c r="H272" s="31">
        <v>1618</v>
      </c>
      <c r="I272" s="31">
        <v>1639</v>
      </c>
      <c r="J272" t="s">
        <v>6021</v>
      </c>
      <c r="K272" t="s">
        <v>6023</v>
      </c>
    </row>
    <row r="273" spans="1:11" ht="15" thickBot="1" x14ac:dyDescent="0.35">
      <c r="A273" t="s">
        <v>4580</v>
      </c>
      <c r="B273" s="29" t="s">
        <v>4581</v>
      </c>
      <c r="C273" s="31" t="s">
        <v>5724</v>
      </c>
      <c r="D273" s="31" t="s">
        <v>5725</v>
      </c>
      <c r="E273" s="31" t="s">
        <v>5726</v>
      </c>
      <c r="F273" s="31" t="s">
        <v>190</v>
      </c>
      <c r="G273" s="31" t="s">
        <v>5727</v>
      </c>
      <c r="H273" s="31">
        <v>1552</v>
      </c>
      <c r="I273" s="31">
        <v>1618</v>
      </c>
      <c r="J273" t="s">
        <v>6021</v>
      </c>
      <c r="K273" t="s">
        <v>4655</v>
      </c>
    </row>
    <row r="274" spans="1:11" ht="15" thickBot="1" x14ac:dyDescent="0.35">
      <c r="A274" t="s">
        <v>4582</v>
      </c>
      <c r="B274" s="29" t="s">
        <v>4583</v>
      </c>
      <c r="C274" s="31" t="s">
        <v>5728</v>
      </c>
      <c r="D274" s="31" t="s">
        <v>5729</v>
      </c>
      <c r="E274" s="31" t="s">
        <v>5730</v>
      </c>
      <c r="F274" s="31" t="s">
        <v>5731</v>
      </c>
      <c r="G274" s="31" t="s">
        <v>5732</v>
      </c>
      <c r="H274" s="31">
        <v>1597</v>
      </c>
      <c r="I274" s="31">
        <v>1647</v>
      </c>
      <c r="J274" t="s">
        <v>6024</v>
      </c>
      <c r="K274" t="s">
        <v>6025</v>
      </c>
    </row>
    <row r="275" spans="1:11" ht="15" thickBot="1" x14ac:dyDescent="0.35">
      <c r="A275" t="s">
        <v>4115</v>
      </c>
      <c r="B275" s="30" t="s">
        <v>4584</v>
      </c>
      <c r="C275" s="32" t="s">
        <v>5733</v>
      </c>
      <c r="D275" s="32" t="s">
        <v>5734</v>
      </c>
      <c r="E275" s="32" t="s">
        <v>5735</v>
      </c>
      <c r="F275" s="32" t="s">
        <v>3218</v>
      </c>
      <c r="G275" s="32" t="s">
        <v>5736</v>
      </c>
      <c r="H275" s="31">
        <v>1702</v>
      </c>
      <c r="I275" s="31">
        <v>1754</v>
      </c>
      <c r="J275" t="s">
        <v>4644</v>
      </c>
      <c r="K275" t="s">
        <v>4645</v>
      </c>
    </row>
    <row r="276" spans="1:11" ht="15" thickBot="1" x14ac:dyDescent="0.35">
      <c r="A276" t="s">
        <v>4116</v>
      </c>
      <c r="B276" s="30" t="s">
        <v>4146</v>
      </c>
      <c r="C276" s="32">
        <v>1605</v>
      </c>
      <c r="D276" s="32" t="s">
        <v>5737</v>
      </c>
      <c r="E276" s="32" t="s">
        <v>5738</v>
      </c>
      <c r="F276" s="32" t="s">
        <v>5739</v>
      </c>
      <c r="G276" s="32" t="s">
        <v>5740</v>
      </c>
      <c r="H276" s="31">
        <v>1605</v>
      </c>
      <c r="I276" s="31">
        <v>1677</v>
      </c>
      <c r="J276" t="s">
        <v>5915</v>
      </c>
      <c r="K276" t="s">
        <v>5929</v>
      </c>
    </row>
    <row r="277" spans="1:11" ht="15" thickBot="1" x14ac:dyDescent="0.35">
      <c r="A277" t="s">
        <v>4585</v>
      </c>
      <c r="B277" s="29" t="s">
        <v>4586</v>
      </c>
      <c r="C277" s="31" t="s">
        <v>5741</v>
      </c>
      <c r="D277" s="31" t="s">
        <v>5742</v>
      </c>
      <c r="E277" s="31" t="s">
        <v>5743</v>
      </c>
      <c r="F277" s="31" t="s">
        <v>5180</v>
      </c>
      <c r="G277" s="31" t="s">
        <v>5744</v>
      </c>
      <c r="H277" s="31">
        <v>1590</v>
      </c>
      <c r="I277" s="31">
        <v>1657</v>
      </c>
      <c r="J277" t="s">
        <v>5915</v>
      </c>
      <c r="K277" t="s">
        <v>6026</v>
      </c>
    </row>
    <row r="278" spans="1:11" ht="15" thickBot="1" x14ac:dyDescent="0.35">
      <c r="A278" t="s">
        <v>4587</v>
      </c>
      <c r="B278" s="29" t="s">
        <v>4588</v>
      </c>
      <c r="C278" s="31" t="s">
        <v>5745</v>
      </c>
      <c r="D278" s="31"/>
      <c r="E278" s="31" t="s">
        <v>5746</v>
      </c>
      <c r="F278" s="31" t="s">
        <v>4793</v>
      </c>
      <c r="G278" s="31" t="s">
        <v>5747</v>
      </c>
      <c r="H278" s="31">
        <v>1610</v>
      </c>
      <c r="I278" s="31">
        <v>1674</v>
      </c>
      <c r="J278" t="s">
        <v>5915</v>
      </c>
      <c r="K278" t="s">
        <v>6027</v>
      </c>
    </row>
    <row r="279" spans="1:11" ht="15" thickBot="1" x14ac:dyDescent="0.35">
      <c r="A279" t="s">
        <v>4118</v>
      </c>
      <c r="B279" s="30" t="s">
        <v>4589</v>
      </c>
      <c r="C279" s="32">
        <v>1683</v>
      </c>
      <c r="D279" s="32"/>
      <c r="E279" s="32" t="s">
        <v>5748</v>
      </c>
      <c r="F279" s="32"/>
      <c r="G279" s="32" t="s">
        <v>5749</v>
      </c>
      <c r="H279" s="31">
        <v>1683</v>
      </c>
      <c r="I279" s="31">
        <v>1755</v>
      </c>
      <c r="J279" t="s">
        <v>5915</v>
      </c>
      <c r="K279" t="s">
        <v>4742</v>
      </c>
    </row>
    <row r="280" spans="1:11" ht="15" thickBot="1" x14ac:dyDescent="0.35">
      <c r="A280" t="s">
        <v>4117</v>
      </c>
      <c r="B280" s="30" t="s">
        <v>4590</v>
      </c>
      <c r="C280" s="32" t="s">
        <v>5750</v>
      </c>
      <c r="D280" s="32" t="s">
        <v>5751</v>
      </c>
      <c r="E280" s="32" t="s">
        <v>5752</v>
      </c>
      <c r="F280" s="32" t="s">
        <v>2335</v>
      </c>
      <c r="G280" s="32" t="s">
        <v>5753</v>
      </c>
      <c r="H280" s="31">
        <v>1710</v>
      </c>
      <c r="I280" s="31">
        <v>1791</v>
      </c>
      <c r="J280" t="s">
        <v>5915</v>
      </c>
      <c r="K280" t="s">
        <v>4742</v>
      </c>
    </row>
    <row r="281" spans="1:11" ht="15" thickBot="1" x14ac:dyDescent="0.35">
      <c r="A281" t="s">
        <v>4119</v>
      </c>
      <c r="B281" s="29" t="s">
        <v>4591</v>
      </c>
      <c r="C281" s="31" t="s">
        <v>5754</v>
      </c>
      <c r="D281" s="31" t="s">
        <v>5755</v>
      </c>
      <c r="E281" s="31" t="s">
        <v>5756</v>
      </c>
      <c r="F281" s="31" t="s">
        <v>5671</v>
      </c>
      <c r="G281" s="31" t="s">
        <v>5757</v>
      </c>
      <c r="H281" s="31">
        <v>1687</v>
      </c>
      <c r="I281" s="31">
        <v>1729</v>
      </c>
      <c r="J281" t="s">
        <v>5915</v>
      </c>
      <c r="K281" t="s">
        <v>6028</v>
      </c>
    </row>
    <row r="282" spans="1:11" ht="15" thickBot="1" x14ac:dyDescent="0.35">
      <c r="A282" t="s">
        <v>4592</v>
      </c>
      <c r="B282" s="29" t="s">
        <v>4593</v>
      </c>
      <c r="C282" s="31" t="s">
        <v>5758</v>
      </c>
      <c r="D282" s="31" t="s">
        <v>5273</v>
      </c>
      <c r="E282" s="31" t="s">
        <v>5759</v>
      </c>
      <c r="F282" s="31" t="s">
        <v>4793</v>
      </c>
      <c r="G282" s="31" t="s">
        <v>5760</v>
      </c>
      <c r="H282" s="31">
        <v>1601</v>
      </c>
      <c r="I282" s="31">
        <v>1678</v>
      </c>
      <c r="J282" t="s">
        <v>5915</v>
      </c>
      <c r="K282" t="s">
        <v>6029</v>
      </c>
    </row>
    <row r="283" spans="1:11" ht="15" thickBot="1" x14ac:dyDescent="0.35">
      <c r="A283" t="s">
        <v>4594</v>
      </c>
      <c r="B283" s="29" t="s">
        <v>4595</v>
      </c>
      <c r="C283" s="31" t="s">
        <v>5761</v>
      </c>
      <c r="D283" s="31" t="s">
        <v>4793</v>
      </c>
      <c r="E283" s="31" t="s">
        <v>5762</v>
      </c>
      <c r="F283" s="31" t="s">
        <v>4793</v>
      </c>
      <c r="G283" s="31" t="s">
        <v>5763</v>
      </c>
      <c r="H283" s="31">
        <v>1651</v>
      </c>
      <c r="I283" s="31">
        <v>1689</v>
      </c>
      <c r="J283" t="s">
        <v>5915</v>
      </c>
      <c r="K283" t="s">
        <v>6029</v>
      </c>
    </row>
    <row r="284" spans="1:11" ht="15" thickBot="1" x14ac:dyDescent="0.35">
      <c r="A284" t="s">
        <v>4596</v>
      </c>
      <c r="B284" s="29" t="s">
        <v>4597</v>
      </c>
      <c r="C284" s="31">
        <v>1690</v>
      </c>
      <c r="D284" s="31" t="s">
        <v>5764</v>
      </c>
      <c r="E284" s="31" t="s">
        <v>5765</v>
      </c>
      <c r="F284" s="31" t="s">
        <v>5120</v>
      </c>
      <c r="G284" s="31" t="s">
        <v>5766</v>
      </c>
      <c r="H284" s="31">
        <v>1690</v>
      </c>
      <c r="I284" s="31">
        <v>1736</v>
      </c>
      <c r="J284" t="s">
        <v>5915</v>
      </c>
      <c r="K284" t="s">
        <v>6030</v>
      </c>
    </row>
    <row r="285" spans="1:11" ht="15" thickBot="1" x14ac:dyDescent="0.35">
      <c r="A285" t="s">
        <v>4598</v>
      </c>
      <c r="B285" s="29" t="s">
        <v>4599</v>
      </c>
      <c r="C285" s="31">
        <v>1617</v>
      </c>
      <c r="D285" s="31" t="s">
        <v>3101</v>
      </c>
      <c r="E285" s="31">
        <v>1677</v>
      </c>
      <c r="F285" s="31" t="s">
        <v>5767</v>
      </c>
      <c r="G285" s="31" t="s">
        <v>5768</v>
      </c>
      <c r="H285" s="31">
        <v>1617</v>
      </c>
      <c r="I285" s="31">
        <v>1677</v>
      </c>
      <c r="J285" t="s">
        <v>5915</v>
      </c>
      <c r="K285" t="s">
        <v>6031</v>
      </c>
    </row>
    <row r="286" spans="1:11" ht="15" thickBot="1" x14ac:dyDescent="0.35">
      <c r="A286" t="s">
        <v>4600</v>
      </c>
      <c r="B286" s="29" t="s">
        <v>4601</v>
      </c>
      <c r="C286" s="31" t="s">
        <v>5769</v>
      </c>
      <c r="D286" s="31" t="s">
        <v>5201</v>
      </c>
      <c r="E286" s="31" t="s">
        <v>5770</v>
      </c>
      <c r="F286" s="31" t="s">
        <v>5771</v>
      </c>
      <c r="G286" s="31" t="s">
        <v>5772</v>
      </c>
      <c r="H286" s="31">
        <v>1677</v>
      </c>
      <c r="I286" s="31">
        <v>1761</v>
      </c>
      <c r="J286" t="s">
        <v>5915</v>
      </c>
      <c r="K286" t="s">
        <v>6032</v>
      </c>
    </row>
    <row r="287" spans="1:11" ht="15" thickBot="1" x14ac:dyDescent="0.35">
      <c r="A287" t="s">
        <v>4121</v>
      </c>
      <c r="B287" s="30" t="s">
        <v>4147</v>
      </c>
      <c r="C287" s="32" t="s">
        <v>5773</v>
      </c>
      <c r="D287" s="32" t="s">
        <v>3832</v>
      </c>
      <c r="E287" s="32"/>
      <c r="F287" s="32" t="s">
        <v>190</v>
      </c>
      <c r="G287" s="32" t="s">
        <v>5774</v>
      </c>
      <c r="H287" s="31">
        <v>1730</v>
      </c>
      <c r="I287" s="31" t="s">
        <v>4982</v>
      </c>
      <c r="J287" t="s">
        <v>5915</v>
      </c>
      <c r="K287" t="s">
        <v>6033</v>
      </c>
    </row>
    <row r="288" spans="1:11" ht="15" thickBot="1" x14ac:dyDescent="0.35">
      <c r="A288" t="s">
        <v>4602</v>
      </c>
      <c r="B288" s="29" t="s">
        <v>4603</v>
      </c>
      <c r="C288" s="31">
        <v>1653</v>
      </c>
      <c r="D288" s="31" t="s">
        <v>5775</v>
      </c>
      <c r="E288" s="31">
        <v>1713</v>
      </c>
      <c r="F288" s="31" t="s">
        <v>5776</v>
      </c>
      <c r="G288" s="31" t="s">
        <v>5777</v>
      </c>
      <c r="H288" s="31">
        <v>1653</v>
      </c>
      <c r="I288" s="31">
        <v>1713</v>
      </c>
      <c r="J288" t="s">
        <v>5915</v>
      </c>
      <c r="K288" t="s">
        <v>6034</v>
      </c>
    </row>
    <row r="289" spans="1:11" ht="15" thickBot="1" x14ac:dyDescent="0.35">
      <c r="A289" t="s">
        <v>4604</v>
      </c>
      <c r="B289" s="29" t="s">
        <v>4605</v>
      </c>
      <c r="C289" s="31" t="s">
        <v>5778</v>
      </c>
      <c r="D289" s="31" t="s">
        <v>5779</v>
      </c>
      <c r="E289" s="31" t="s">
        <v>5780</v>
      </c>
      <c r="F289" s="31" t="s">
        <v>5779</v>
      </c>
      <c r="G289" s="31" t="s">
        <v>5781</v>
      </c>
      <c r="H289" s="31">
        <v>1605</v>
      </c>
      <c r="I289" s="31">
        <v>1658</v>
      </c>
      <c r="J289" t="s">
        <v>5915</v>
      </c>
      <c r="K289" t="s">
        <v>4709</v>
      </c>
    </row>
    <row r="290" spans="1:11" ht="15" thickBot="1" x14ac:dyDescent="0.35">
      <c r="A290" t="s">
        <v>4606</v>
      </c>
      <c r="B290" s="29" t="s">
        <v>4607</v>
      </c>
      <c r="C290" s="31" t="s">
        <v>5782</v>
      </c>
      <c r="D290" s="31" t="s">
        <v>406</v>
      </c>
      <c r="E290" s="31" t="s">
        <v>5783</v>
      </c>
      <c r="F290" s="31" t="s">
        <v>3295</v>
      </c>
      <c r="G290" s="31" t="s">
        <v>5784</v>
      </c>
      <c r="H290" s="31">
        <v>1695</v>
      </c>
      <c r="I290" s="31">
        <v>1758</v>
      </c>
      <c r="J290" t="s">
        <v>5915</v>
      </c>
      <c r="K290" t="s">
        <v>5948</v>
      </c>
    </row>
    <row r="291" spans="1:11" ht="15" thickBot="1" x14ac:dyDescent="0.35">
      <c r="A291" t="s">
        <v>4608</v>
      </c>
      <c r="B291" s="29" t="s">
        <v>4609</v>
      </c>
      <c r="C291" s="31" t="s">
        <v>5785</v>
      </c>
      <c r="D291" s="31" t="s">
        <v>5786</v>
      </c>
      <c r="E291" s="31">
        <v>1641</v>
      </c>
      <c r="F291" s="31" t="s">
        <v>5787</v>
      </c>
      <c r="G291" s="31" t="s">
        <v>5788</v>
      </c>
      <c r="H291" s="31">
        <v>1586</v>
      </c>
      <c r="I291" s="31">
        <v>1641</v>
      </c>
      <c r="J291" t="s">
        <v>5915</v>
      </c>
      <c r="K291" t="s">
        <v>6010</v>
      </c>
    </row>
    <row r="292" spans="1:11" ht="15" thickBot="1" x14ac:dyDescent="0.35">
      <c r="A292" t="s">
        <v>4610</v>
      </c>
      <c r="B292" s="29" t="s">
        <v>4611</v>
      </c>
      <c r="C292" s="31" t="s">
        <v>5789</v>
      </c>
      <c r="D292" s="31" t="s">
        <v>5790</v>
      </c>
      <c r="E292" s="31" t="s">
        <v>5791</v>
      </c>
      <c r="F292" s="31"/>
      <c r="G292" s="31" t="s">
        <v>5792</v>
      </c>
      <c r="H292" s="31">
        <v>1612</v>
      </c>
      <c r="I292" s="31">
        <v>1683</v>
      </c>
      <c r="J292" t="s">
        <v>5915</v>
      </c>
      <c r="K292" t="s">
        <v>6035</v>
      </c>
    </row>
    <row r="293" spans="1:11" ht="15" thickBot="1" x14ac:dyDescent="0.35">
      <c r="A293" t="s">
        <v>4122</v>
      </c>
      <c r="B293" s="30" t="s">
        <v>4612</v>
      </c>
      <c r="C293" s="32" t="s">
        <v>5789</v>
      </c>
      <c r="D293" s="32" t="s">
        <v>5790</v>
      </c>
      <c r="E293" s="32" t="s">
        <v>5791</v>
      </c>
      <c r="F293" s="32"/>
      <c r="G293" s="32" t="s">
        <v>5792</v>
      </c>
      <c r="H293" s="31">
        <v>1612</v>
      </c>
      <c r="I293" s="31">
        <v>1683</v>
      </c>
      <c r="J293" t="s">
        <v>4642</v>
      </c>
      <c r="K293" t="s">
        <v>4643</v>
      </c>
    </row>
    <row r="294" spans="1:11" ht="15" thickBot="1" x14ac:dyDescent="0.35">
      <c r="A294" t="s">
        <v>4613</v>
      </c>
      <c r="B294" s="29" t="s">
        <v>4614</v>
      </c>
      <c r="C294" s="31">
        <v>1635</v>
      </c>
      <c r="D294" s="31"/>
      <c r="E294" s="31" t="s">
        <v>5793</v>
      </c>
      <c r="F294" s="31"/>
      <c r="G294" s="31" t="s">
        <v>5794</v>
      </c>
      <c r="H294" s="31">
        <v>1635</v>
      </c>
      <c r="I294" s="31">
        <v>1704</v>
      </c>
      <c r="J294" t="s">
        <v>5915</v>
      </c>
      <c r="K294" t="s">
        <v>6036</v>
      </c>
    </row>
    <row r="295" spans="1:11" ht="15" thickBot="1" x14ac:dyDescent="0.35">
      <c r="A295" t="s">
        <v>4123</v>
      </c>
      <c r="B295" s="30" t="s">
        <v>4615</v>
      </c>
      <c r="C295" s="32">
        <v>1711</v>
      </c>
      <c r="D295" s="32" t="s">
        <v>5795</v>
      </c>
      <c r="E295" s="32" t="s">
        <v>5796</v>
      </c>
      <c r="F295" s="32" t="s">
        <v>5795</v>
      </c>
      <c r="G295" s="32" t="s">
        <v>5797</v>
      </c>
      <c r="H295" s="31">
        <v>1711</v>
      </c>
      <c r="I295" s="31">
        <v>1772</v>
      </c>
      <c r="J295" t="s">
        <v>5915</v>
      </c>
      <c r="K295" t="s">
        <v>6037</v>
      </c>
    </row>
    <row r="296" spans="1:11" ht="15" thickBot="1" x14ac:dyDescent="0.35">
      <c r="A296" t="s">
        <v>4616</v>
      </c>
      <c r="B296" s="29" t="s">
        <v>4617</v>
      </c>
      <c r="C296" s="31" t="s">
        <v>5798</v>
      </c>
      <c r="D296" s="31" t="s">
        <v>190</v>
      </c>
      <c r="E296" s="31" t="s">
        <v>5799</v>
      </c>
      <c r="F296" s="31" t="s">
        <v>5800</v>
      </c>
      <c r="G296" s="31" t="s">
        <v>5801</v>
      </c>
      <c r="H296" s="31">
        <v>1644</v>
      </c>
      <c r="I296" s="31">
        <v>1718</v>
      </c>
      <c r="J296" t="s">
        <v>5915</v>
      </c>
      <c r="K296" t="s">
        <v>5883</v>
      </c>
    </row>
    <row r="297" spans="1:11" ht="15" thickBot="1" x14ac:dyDescent="0.35">
      <c r="A297" t="s">
        <v>4618</v>
      </c>
      <c r="B297" s="29" t="s">
        <v>4619</v>
      </c>
      <c r="C297" s="31" t="s">
        <v>5802</v>
      </c>
      <c r="D297" s="31" t="s">
        <v>5804</v>
      </c>
      <c r="E297" s="31" t="s">
        <v>5805</v>
      </c>
      <c r="F297" s="31" t="s">
        <v>5806</v>
      </c>
      <c r="G297" s="31" t="s">
        <v>5807</v>
      </c>
      <c r="H297" s="31" t="s">
        <v>5803</v>
      </c>
      <c r="I297" s="31">
        <v>1694</v>
      </c>
      <c r="J297" t="s">
        <v>5915</v>
      </c>
      <c r="K297" t="s">
        <v>5992</v>
      </c>
    </row>
    <row r="298" spans="1:11" ht="15" thickBot="1" x14ac:dyDescent="0.35">
      <c r="A298" t="s">
        <v>4620</v>
      </c>
      <c r="B298" s="29" t="s">
        <v>4621</v>
      </c>
      <c r="C298" s="31" t="s">
        <v>5808</v>
      </c>
      <c r="D298" s="31" t="s">
        <v>4951</v>
      </c>
      <c r="E298" s="31" t="s">
        <v>5809</v>
      </c>
      <c r="F298" s="31" t="s">
        <v>4951</v>
      </c>
      <c r="G298" s="31" t="s">
        <v>5810</v>
      </c>
      <c r="H298" s="31">
        <v>1694</v>
      </c>
      <c r="I298" s="31">
        <v>1769</v>
      </c>
      <c r="J298" t="s">
        <v>5915</v>
      </c>
      <c r="K298" t="s">
        <v>6038</v>
      </c>
    </row>
    <row r="299" spans="1:11" ht="15" thickBot="1" x14ac:dyDescent="0.35">
      <c r="A299" t="s">
        <v>4622</v>
      </c>
      <c r="B299" s="30" t="s">
        <v>4623</v>
      </c>
      <c r="C299" s="32">
        <v>1590</v>
      </c>
      <c r="D299" s="32" t="s">
        <v>5811</v>
      </c>
      <c r="E299" s="32">
        <v>1671</v>
      </c>
      <c r="F299" s="32" t="s">
        <v>5812</v>
      </c>
      <c r="G299" s="32" t="s">
        <v>5813</v>
      </c>
      <c r="H299" s="31">
        <v>1590</v>
      </c>
      <c r="I299" s="31">
        <v>1671</v>
      </c>
      <c r="J299" t="s">
        <v>5915</v>
      </c>
      <c r="K299" t="s">
        <v>6039</v>
      </c>
    </row>
    <row r="300" spans="1:11" ht="15" thickBot="1" x14ac:dyDescent="0.35">
      <c r="A300" t="s">
        <v>4624</v>
      </c>
      <c r="B300" s="29" t="s">
        <v>4625</v>
      </c>
      <c r="C300" s="31" t="s">
        <v>5814</v>
      </c>
      <c r="D300" s="31" t="s">
        <v>5815</v>
      </c>
      <c r="E300" s="31" t="s">
        <v>5816</v>
      </c>
      <c r="F300" s="31" t="s">
        <v>3617</v>
      </c>
      <c r="G300" s="31" t="s">
        <v>5817</v>
      </c>
      <c r="H300" s="31">
        <v>1694</v>
      </c>
      <c r="I300" s="31">
        <v>1771</v>
      </c>
      <c r="J300" t="s">
        <v>5915</v>
      </c>
      <c r="K300" t="s">
        <v>6040</v>
      </c>
    </row>
    <row r="301" spans="1:11" ht="15" thickBot="1" x14ac:dyDescent="0.35">
      <c r="A301" t="s">
        <v>4626</v>
      </c>
      <c r="B301" s="29" t="s">
        <v>4627</v>
      </c>
      <c r="C301" s="31" t="s">
        <v>5818</v>
      </c>
      <c r="D301" s="31" t="s">
        <v>5819</v>
      </c>
      <c r="E301" s="31">
        <v>1753</v>
      </c>
      <c r="F301" s="31" t="s">
        <v>5820</v>
      </c>
      <c r="G301" s="31" t="s">
        <v>5821</v>
      </c>
      <c r="H301" s="31">
        <v>1671</v>
      </c>
      <c r="I301" s="31">
        <v>1753</v>
      </c>
      <c r="J301" t="s">
        <v>5915</v>
      </c>
      <c r="K301" t="s">
        <v>5979</v>
      </c>
    </row>
    <row r="302" spans="1:11" ht="15" thickBot="1" x14ac:dyDescent="0.35">
      <c r="A302" t="s">
        <v>4628</v>
      </c>
      <c r="B302" s="29" t="s">
        <v>4629</v>
      </c>
      <c r="C302" s="31" t="s">
        <v>5822</v>
      </c>
      <c r="D302" s="31" t="s">
        <v>5823</v>
      </c>
      <c r="E302" s="31" t="s">
        <v>4839</v>
      </c>
      <c r="F302" s="31" t="s">
        <v>5824</v>
      </c>
      <c r="G302" s="31" t="s">
        <v>5825</v>
      </c>
      <c r="H302" s="31">
        <v>1603</v>
      </c>
      <c r="I302" s="31">
        <v>1660</v>
      </c>
      <c r="J302" t="s">
        <v>5915</v>
      </c>
      <c r="K302" t="s">
        <v>6041</v>
      </c>
    </row>
    <row r="303" spans="1:11" ht="15" thickBot="1" x14ac:dyDescent="0.35">
      <c r="A303" t="s">
        <v>4630</v>
      </c>
      <c r="B303" s="29" t="s">
        <v>4631</v>
      </c>
      <c r="C303" s="31">
        <v>1631</v>
      </c>
      <c r="D303" s="31" t="s">
        <v>5826</v>
      </c>
      <c r="E303" s="31" t="s">
        <v>5827</v>
      </c>
      <c r="F303" s="31" t="s">
        <v>5828</v>
      </c>
      <c r="G303" s="31" t="s">
        <v>5829</v>
      </c>
      <c r="H303" s="31">
        <v>1631</v>
      </c>
      <c r="I303" s="31">
        <v>1701</v>
      </c>
      <c r="J303" t="s">
        <v>5915</v>
      </c>
      <c r="K303" t="s">
        <v>6042</v>
      </c>
    </row>
    <row r="304" spans="1:11" ht="15" thickBot="1" x14ac:dyDescent="0.35">
      <c r="A304" t="s">
        <v>4632</v>
      </c>
      <c r="B304" s="29" t="s">
        <v>4633</v>
      </c>
      <c r="C304" s="31" t="s">
        <v>5830</v>
      </c>
      <c r="D304" s="31" t="s">
        <v>5831</v>
      </c>
      <c r="E304" s="31" t="s">
        <v>5832</v>
      </c>
      <c r="F304" s="31" t="s">
        <v>5828</v>
      </c>
      <c r="G304" s="31" t="s">
        <v>5833</v>
      </c>
      <c r="H304" s="31">
        <v>1675</v>
      </c>
      <c r="I304" s="31">
        <v>1732</v>
      </c>
      <c r="J304" t="s">
        <v>5915</v>
      </c>
      <c r="K304" t="s">
        <v>6043</v>
      </c>
    </row>
    <row r="305" spans="1:11" ht="15" thickBot="1" x14ac:dyDescent="0.35">
      <c r="A305" t="s">
        <v>4634</v>
      </c>
      <c r="B305" s="29" t="s">
        <v>4635</v>
      </c>
      <c r="C305" s="31" t="s">
        <v>5834</v>
      </c>
      <c r="D305" s="31" t="s">
        <v>5835</v>
      </c>
      <c r="E305" s="31" t="s">
        <v>5836</v>
      </c>
      <c r="F305" s="31" t="s">
        <v>190</v>
      </c>
      <c r="G305" s="31" t="s">
        <v>5837</v>
      </c>
      <c r="H305" s="31">
        <v>1729</v>
      </c>
      <c r="I305" s="31">
        <v>1788</v>
      </c>
      <c r="J305" t="s">
        <v>5915</v>
      </c>
      <c r="K305" t="s">
        <v>6044</v>
      </c>
    </row>
    <row r="306" spans="1:11" ht="15" thickBot="1" x14ac:dyDescent="0.35">
      <c r="A306" t="s">
        <v>4636</v>
      </c>
      <c r="B306" s="29" t="s">
        <v>4637</v>
      </c>
      <c r="C306" s="31"/>
      <c r="D306" s="31" t="s">
        <v>5279</v>
      </c>
      <c r="E306" s="31" t="s">
        <v>5838</v>
      </c>
      <c r="F306" s="31" t="s">
        <v>4793</v>
      </c>
      <c r="G306" s="31" t="s">
        <v>5839</v>
      </c>
      <c r="H306" s="31" t="s">
        <v>4982</v>
      </c>
      <c r="I306" s="31">
        <v>1733</v>
      </c>
      <c r="J306" t="s">
        <v>5915</v>
      </c>
      <c r="K306" t="s">
        <v>4735</v>
      </c>
    </row>
    <row r="307" spans="1:11" ht="15" thickBot="1" x14ac:dyDescent="0.35">
      <c r="A307" t="s">
        <v>4638</v>
      </c>
      <c r="B307" s="29" t="s">
        <v>4639</v>
      </c>
      <c r="C307" s="31" t="s">
        <v>5840</v>
      </c>
      <c r="D307" s="31" t="s">
        <v>5841</v>
      </c>
      <c r="E307" s="31" t="s">
        <v>5842</v>
      </c>
      <c r="F307" s="31" t="s">
        <v>5843</v>
      </c>
      <c r="G307" s="31" t="s">
        <v>5844</v>
      </c>
      <c r="H307" s="31">
        <v>1606</v>
      </c>
      <c r="I307" s="31">
        <v>1654</v>
      </c>
      <c r="J307" t="s">
        <v>4640</v>
      </c>
      <c r="K307" t="s">
        <v>4641</v>
      </c>
    </row>
  </sheetData>
  <hyperlinks>
    <hyperlink ref="B2" r:id="rId1" xr:uid="{062DE481-B4EB-4078-A4EE-87D6CDF6096F}"/>
    <hyperlink ref="B9" r:id="rId2" xr:uid="{76F1A97B-B14C-4F24-B099-71E0BD75F17A}"/>
    <hyperlink ref="B16" r:id="rId3" xr:uid="{7D47FA63-9088-4F44-B1C4-BF0DDC05A756}"/>
    <hyperlink ref="B22" r:id="rId4" xr:uid="{40D8A2F8-5B1B-4E07-899F-501043305D4F}"/>
    <hyperlink ref="B28" r:id="rId5" xr:uid="{36DA5DD2-C8EA-4721-B403-0A78B2E29491}"/>
    <hyperlink ref="B29" r:id="rId6" xr:uid="{1A275593-3C3C-4D51-9DE3-21D202356CD7}"/>
    <hyperlink ref="B31" r:id="rId7" xr:uid="{13751E89-BF25-491C-8F40-22985DC5EE2D}"/>
    <hyperlink ref="B37" r:id="rId8" xr:uid="{DF487CC0-01E5-4143-8599-9B7D8D580773}"/>
    <hyperlink ref="B42" r:id="rId9" xr:uid="{D7DF05BA-622E-49DC-9B28-4AD20DC9AFB0}"/>
    <hyperlink ref="B45" r:id="rId10" xr:uid="{ACBA1C1A-68E1-4EA4-8F6D-DA0F0BC70D6C}"/>
    <hyperlink ref="B48" r:id="rId11" xr:uid="{97EF75B8-B799-470C-A4B8-F0FD4E56D3C7}"/>
    <hyperlink ref="B49" r:id="rId12" xr:uid="{F265E328-FD0E-422F-8683-8A14C3CE12E8}"/>
    <hyperlink ref="B56" r:id="rId13" xr:uid="{82C2D70E-0C7F-4D7A-8CAC-A52E248DFD4C}"/>
    <hyperlink ref="B58" r:id="rId14" xr:uid="{787B43EE-F4BD-4472-8BD9-E0AE78D1734D}"/>
    <hyperlink ref="B60" r:id="rId15" xr:uid="{2F3DA1AD-EB4A-4163-85CB-4285055C9737}"/>
    <hyperlink ref="B67" r:id="rId16" xr:uid="{87C0E399-46B2-4AEB-88CB-F23462222593}"/>
    <hyperlink ref="B70" r:id="rId17" xr:uid="{F86D3B9D-E8A7-44DA-9FED-9D89E7FF9F16}"/>
    <hyperlink ref="B74" r:id="rId18" xr:uid="{3E778988-DB4F-4CF7-B8E9-59E1680366B5}"/>
    <hyperlink ref="B76" r:id="rId19" xr:uid="{1B3807B1-6D4C-4F25-81E5-8A19D4F700D1}"/>
    <hyperlink ref="B79" r:id="rId20" xr:uid="{13A589A6-476B-41D4-A4CC-57F86E0AB3AC}"/>
    <hyperlink ref="B80" r:id="rId21" xr:uid="{32FECE70-A94D-458C-838C-91B7DA80031C}"/>
    <hyperlink ref="B82" r:id="rId22" xr:uid="{50308746-4C67-4415-93AE-70126B93C6D3}"/>
    <hyperlink ref="B85" r:id="rId23" xr:uid="{C64B7517-3190-45EF-BDBE-009CA3B73648}"/>
    <hyperlink ref="B86" r:id="rId24" xr:uid="{8461D86E-BDC3-41B8-A900-245B86B2C6BC}"/>
    <hyperlink ref="B90" r:id="rId25" xr:uid="{477C414C-15BB-400E-9518-09A59061D71E}"/>
    <hyperlink ref="B97" r:id="rId26" xr:uid="{907F07D3-4FB4-43DE-9E0B-5FF591B929DB}"/>
    <hyperlink ref="B98" r:id="rId27" xr:uid="{6D9FB9B9-8B8E-48C3-984A-3204E5E4AFEC}"/>
    <hyperlink ref="B99" r:id="rId28" xr:uid="{38C8C659-5F8E-421B-82EC-2D4DD28B9743}"/>
    <hyperlink ref="B124" r:id="rId29" xr:uid="{4963C389-57D2-4290-8C8D-F298DDF340A0}"/>
    <hyperlink ref="B125" r:id="rId30" xr:uid="{C862CEAB-AF8A-4CD5-9A5D-03883A023A5D}"/>
    <hyperlink ref="B132" r:id="rId31" xr:uid="{3E536B5C-3B0E-4026-AFE4-75F205C89A6A}"/>
    <hyperlink ref="B137" r:id="rId32" xr:uid="{9D3FECBB-A2C0-4122-B223-A37CE58C61AA}"/>
    <hyperlink ref="B142" r:id="rId33" xr:uid="{D9795D90-5650-4F61-8F4D-AF1BB9073E10}"/>
    <hyperlink ref="B146" r:id="rId34" xr:uid="{47AE21F2-A542-479D-8694-5A4467A6EF1F}"/>
    <hyperlink ref="B149" r:id="rId35" xr:uid="{95EE69E4-75A9-44C4-BE48-0AE84CFB1E97}"/>
    <hyperlink ref="B152" r:id="rId36" xr:uid="{1F1CAE6F-44E9-46A7-AF95-E47D8292D987}"/>
    <hyperlink ref="B153" r:id="rId37" xr:uid="{A1AAC8C3-57FC-400E-9802-E3B2C9A499D1}"/>
    <hyperlink ref="B158" r:id="rId38" xr:uid="{952B4C5E-30C7-4E76-8CB8-4BEEDC8D549E}"/>
    <hyperlink ref="B160" r:id="rId39" xr:uid="{68D8E0AB-C48B-4333-BAC2-2B2F454FE7B0}"/>
    <hyperlink ref="B161" r:id="rId40" xr:uid="{D496D311-E34A-4B95-B36E-85D3D219DEF7}"/>
    <hyperlink ref="B163" r:id="rId41" xr:uid="{A37CBE14-B29B-4830-A5CD-50A668E28C44}"/>
    <hyperlink ref="B164" r:id="rId42" xr:uid="{C49120AB-291A-40F7-AA3B-3F15C1AF9C83}"/>
    <hyperlink ref="B166" r:id="rId43" xr:uid="{A2984F69-BEBD-414E-A25F-5DA6F487B3B1}"/>
    <hyperlink ref="B171" r:id="rId44" xr:uid="{A767841B-3911-4A6F-B324-2252062A0782}"/>
    <hyperlink ref="B179" r:id="rId45" xr:uid="{46B5BE71-AECE-422A-AF78-24C1F4AE3041}"/>
    <hyperlink ref="B180" r:id="rId46" xr:uid="{D1852C89-E4EC-4D27-9DA9-9FD8A299CB0C}"/>
    <hyperlink ref="B185" r:id="rId47" xr:uid="{33DE8805-AA67-4E1F-B42A-EC3EFC23F9FA}"/>
    <hyperlink ref="B189" r:id="rId48" xr:uid="{BBE4DC9D-E03F-479A-89B9-978B9296D3BF}"/>
    <hyperlink ref="B190" r:id="rId49" xr:uid="{F2E19C73-72C9-4961-B774-7D6DEBD84B30}"/>
    <hyperlink ref="B200" r:id="rId50" xr:uid="{4ACDDCE6-183B-4684-A5A2-F4308ACF2591}"/>
    <hyperlink ref="B201" r:id="rId51" xr:uid="{C2FEA638-46C5-40BC-9334-607C92360A9C}"/>
    <hyperlink ref="B205" r:id="rId52" xr:uid="{AEF3F5A4-EABF-4280-9EC8-06CF34A0AF01}"/>
    <hyperlink ref="B207" r:id="rId53" xr:uid="{AEC60520-4F73-4981-AE16-2717A9E3E2D0}"/>
    <hyperlink ref="B209" r:id="rId54" xr:uid="{FF223B10-AFFC-4449-AAF6-43933294C4C0}"/>
    <hyperlink ref="B215" r:id="rId55" xr:uid="{9C44CBEC-D861-4136-9841-B4B4098D1878}"/>
    <hyperlink ref="B232" r:id="rId56" xr:uid="{7580592F-5E5B-467E-9749-2797E8D86AB4}"/>
    <hyperlink ref="B238" r:id="rId57" xr:uid="{96E0A25C-046E-4F37-B1D5-458C7151D486}"/>
    <hyperlink ref="B240" r:id="rId58" xr:uid="{52D8BB03-4966-4A01-92EE-F362AC6EFCFB}"/>
    <hyperlink ref="B243" r:id="rId59" xr:uid="{9E82E562-2E03-483F-B9E9-DD71894C3C1C}"/>
    <hyperlink ref="B250" r:id="rId60" xr:uid="{75F3A984-86CC-4023-B759-033DDC321482}"/>
    <hyperlink ref="B258" r:id="rId61" xr:uid="{4662653D-5A09-4E00-BD70-742C341B5A2D}"/>
    <hyperlink ref="B265" r:id="rId62" xr:uid="{CD4BF5AB-1D6B-4713-B555-4C38DE62DD47}"/>
    <hyperlink ref="B268" r:id="rId63" xr:uid="{BDC321AB-9E7E-4940-8CE3-B2732334BE3E}"/>
    <hyperlink ref="B275" r:id="rId64" xr:uid="{9712CDAB-D9EA-485D-A99B-8BC88E02E9C5}"/>
    <hyperlink ref="B276" r:id="rId65" xr:uid="{3EF01FC8-629E-4C98-AAA8-B99C90BC554D}"/>
    <hyperlink ref="B279" r:id="rId66" xr:uid="{C1B9B5E8-AE06-4D40-AFBD-E400EFB29FAE}"/>
    <hyperlink ref="B280" r:id="rId67" xr:uid="{22209C96-D786-4999-B178-D1D26508A86E}"/>
    <hyperlink ref="B287" r:id="rId68" xr:uid="{490FE58C-3932-4A25-A5B2-4AA7D3252632}"/>
    <hyperlink ref="B293" r:id="rId69" xr:uid="{2D0EBE65-792D-4C0A-A62A-87A8481BFF2F}"/>
    <hyperlink ref="B295" r:id="rId70" xr:uid="{F76A64BE-D208-4508-9FF2-80078ADD38FE}"/>
    <hyperlink ref="B299" r:id="rId71" xr:uid="{7690B4C3-06C4-47F0-9D8F-D380E67489CA}"/>
  </hyperlinks>
  <pageMargins left="0.7" right="0.7" top="0.75" bottom="0.75" header="0.3" footer="0.3"/>
  <pageSetup orientation="portrait" verticalDpi="0" r:id="rId7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14152-E3BA-4479-92D5-51E99C355502}">
  <sheetPr codeName="Sheet4"/>
  <dimension ref="A1:K64"/>
  <sheetViews>
    <sheetView zoomScale="145" zoomScaleNormal="145" workbookViewId="0">
      <selection activeCell="K64" sqref="A1:K64"/>
    </sheetView>
  </sheetViews>
  <sheetFormatPr defaultColWidth="54.21875" defaultRowHeight="14.4" x14ac:dyDescent="0.3"/>
  <cols>
    <col min="1" max="1" width="22.44140625" style="34" bestFit="1" customWidth="1"/>
    <col min="2" max="2" width="43.6640625" style="34" customWidth="1"/>
    <col min="3" max="3" width="28.6640625" style="34" customWidth="1"/>
    <col min="4" max="7" width="14.109375" style="34" customWidth="1"/>
    <col min="8" max="9" width="11.109375" style="34" customWidth="1"/>
    <col min="10" max="10" width="17.6640625" style="34" bestFit="1" customWidth="1"/>
    <col min="11" max="11" width="11.109375" style="34" bestFit="1" customWidth="1"/>
    <col min="12" max="16384" width="54.21875" style="34"/>
  </cols>
  <sheetData>
    <row r="1" spans="1:11" x14ac:dyDescent="0.3">
      <c r="A1" s="35" t="s">
        <v>6051</v>
      </c>
      <c r="B1" s="33" t="s">
        <v>6134</v>
      </c>
      <c r="C1" s="33">
        <v>1764</v>
      </c>
      <c r="D1" s="33"/>
      <c r="E1" s="33">
        <v>1832</v>
      </c>
      <c r="F1" s="33"/>
      <c r="G1" s="33" t="s">
        <v>6226</v>
      </c>
      <c r="H1" s="33">
        <v>1764</v>
      </c>
      <c r="I1" s="33">
        <v>1832</v>
      </c>
      <c r="J1" s="34" t="s">
        <v>6078</v>
      </c>
      <c r="K1" s="34" t="s">
        <v>6079</v>
      </c>
    </row>
    <row r="2" spans="1:11" x14ac:dyDescent="0.3">
      <c r="A2" s="34" t="s">
        <v>6196</v>
      </c>
      <c r="B2" s="33" t="s">
        <v>6135</v>
      </c>
      <c r="C2" s="33" t="s">
        <v>6227</v>
      </c>
      <c r="D2" s="33" t="s">
        <v>6229</v>
      </c>
      <c r="E2" s="33" t="s">
        <v>6230</v>
      </c>
      <c r="F2" s="33"/>
      <c r="G2" s="33" t="s">
        <v>6232</v>
      </c>
      <c r="H2" s="33" t="s">
        <v>6228</v>
      </c>
      <c r="I2" s="33" t="s">
        <v>6231</v>
      </c>
      <c r="J2" s="34" t="s">
        <v>5956</v>
      </c>
      <c r="K2" s="34" t="s">
        <v>6079</v>
      </c>
    </row>
    <row r="3" spans="1:11" x14ac:dyDescent="0.3">
      <c r="A3" s="34" t="s">
        <v>6197</v>
      </c>
      <c r="B3" s="33" t="s">
        <v>6136</v>
      </c>
      <c r="C3" s="33" t="s">
        <v>6233</v>
      </c>
      <c r="D3" s="33" t="s">
        <v>6234</v>
      </c>
      <c r="E3" s="33" t="s">
        <v>6235</v>
      </c>
      <c r="F3" s="33" t="s">
        <v>3229</v>
      </c>
      <c r="G3" s="33" t="s">
        <v>6236</v>
      </c>
      <c r="H3" s="33">
        <v>1744</v>
      </c>
      <c r="I3" s="33">
        <v>1817</v>
      </c>
      <c r="J3" s="34" t="s">
        <v>4712</v>
      </c>
      <c r="K3" s="34" t="s">
        <v>6080</v>
      </c>
    </row>
    <row r="4" spans="1:11" x14ac:dyDescent="0.3">
      <c r="A4" s="34" t="s">
        <v>6198</v>
      </c>
      <c r="B4" s="33" t="s">
        <v>6137</v>
      </c>
      <c r="C4" s="33">
        <v>1732</v>
      </c>
      <c r="D4" s="33" t="s">
        <v>6237</v>
      </c>
      <c r="E4" s="33">
        <v>1784</v>
      </c>
      <c r="F4" s="33" t="s">
        <v>3761</v>
      </c>
      <c r="G4" s="33" t="s">
        <v>6238</v>
      </c>
      <c r="H4" s="33">
        <v>1732</v>
      </c>
      <c r="I4" s="33">
        <v>1784</v>
      </c>
      <c r="J4" s="34" t="s">
        <v>5956</v>
      </c>
      <c r="K4" s="34" t="s">
        <v>6081</v>
      </c>
    </row>
    <row r="5" spans="1:11" x14ac:dyDescent="0.3">
      <c r="A5" s="34" t="s">
        <v>6052</v>
      </c>
      <c r="B5" s="33" t="s">
        <v>6138</v>
      </c>
      <c r="C5" s="33">
        <v>1686</v>
      </c>
      <c r="D5" s="33" t="s">
        <v>525</v>
      </c>
      <c r="E5" s="33" t="s">
        <v>6239</v>
      </c>
      <c r="F5" s="33"/>
      <c r="G5" s="33" t="s">
        <v>6240</v>
      </c>
      <c r="H5" s="33">
        <v>1686</v>
      </c>
      <c r="I5" s="33">
        <v>1742</v>
      </c>
      <c r="J5" s="34" t="s">
        <v>4659</v>
      </c>
      <c r="K5" s="34" t="s">
        <v>6026</v>
      </c>
    </row>
    <row r="6" spans="1:11" x14ac:dyDescent="0.3">
      <c r="A6" s="34" t="s">
        <v>4585</v>
      </c>
      <c r="B6" s="33" t="s">
        <v>6139</v>
      </c>
      <c r="C6" s="33" t="s">
        <v>6241</v>
      </c>
      <c r="D6" s="33" t="s">
        <v>6242</v>
      </c>
      <c r="E6" s="33" t="s">
        <v>6243</v>
      </c>
      <c r="F6" s="33" t="s">
        <v>6244</v>
      </c>
      <c r="G6" s="33" t="s">
        <v>6245</v>
      </c>
      <c r="H6" s="33">
        <v>1663</v>
      </c>
      <c r="I6" s="33">
        <v>1752</v>
      </c>
      <c r="J6" s="34" t="s">
        <v>5915</v>
      </c>
      <c r="K6" s="34" t="s">
        <v>6026</v>
      </c>
    </row>
    <row r="7" spans="1:11" x14ac:dyDescent="0.3">
      <c r="A7" s="34" t="s">
        <v>4585</v>
      </c>
      <c r="B7" s="33" t="s">
        <v>6140</v>
      </c>
      <c r="C7" s="33">
        <v>1719</v>
      </c>
      <c r="D7" s="33" t="s">
        <v>5120</v>
      </c>
      <c r="E7" s="33" t="s">
        <v>6246</v>
      </c>
      <c r="F7" s="33"/>
      <c r="G7" s="33" t="s">
        <v>6247</v>
      </c>
      <c r="H7" s="33">
        <v>1719</v>
      </c>
      <c r="I7" s="33">
        <v>1791</v>
      </c>
      <c r="J7" s="34" t="s">
        <v>5915</v>
      </c>
      <c r="K7" s="34" t="s">
        <v>6026</v>
      </c>
    </row>
    <row r="8" spans="1:11" x14ac:dyDescent="0.3">
      <c r="A8" s="34" t="s">
        <v>2727</v>
      </c>
      <c r="B8" s="33" t="s">
        <v>6141</v>
      </c>
      <c r="C8" s="33">
        <v>1653</v>
      </c>
      <c r="D8" s="33" t="s">
        <v>6248</v>
      </c>
      <c r="E8" s="33" t="s">
        <v>6249</v>
      </c>
      <c r="F8" s="33" t="s">
        <v>6251</v>
      </c>
      <c r="G8" s="33" t="s">
        <v>6252</v>
      </c>
      <c r="H8" s="33">
        <v>1653</v>
      </c>
      <c r="I8" s="33" t="s">
        <v>6250</v>
      </c>
      <c r="J8" s="34" t="s">
        <v>4653</v>
      </c>
      <c r="K8" s="34" t="s">
        <v>4666</v>
      </c>
    </row>
    <row r="9" spans="1:11" x14ac:dyDescent="0.3">
      <c r="A9" s="34" t="s">
        <v>6053</v>
      </c>
      <c r="B9" s="33" t="s">
        <v>6142</v>
      </c>
      <c r="C9" s="33" t="s">
        <v>6253</v>
      </c>
      <c r="D9" s="33" t="s">
        <v>365</v>
      </c>
      <c r="E9" s="33" t="s">
        <v>6254</v>
      </c>
      <c r="F9" s="33"/>
      <c r="G9" s="33" t="s">
        <v>6255</v>
      </c>
      <c r="H9" s="33">
        <v>1760</v>
      </c>
      <c r="I9" s="33">
        <v>1839</v>
      </c>
      <c r="J9" s="34" t="s">
        <v>6082</v>
      </c>
      <c r="K9" s="34" t="s">
        <v>6083</v>
      </c>
    </row>
    <row r="10" spans="1:11" x14ac:dyDescent="0.3">
      <c r="A10" s="34" t="s">
        <v>6199</v>
      </c>
      <c r="B10" s="33" t="s">
        <v>6143</v>
      </c>
      <c r="C10" s="33" t="s">
        <v>6256</v>
      </c>
      <c r="D10" s="33" t="s">
        <v>6257</v>
      </c>
      <c r="E10" s="33" t="s">
        <v>6258</v>
      </c>
      <c r="F10" s="33" t="s">
        <v>6259</v>
      </c>
      <c r="G10" s="33" t="s">
        <v>6260</v>
      </c>
      <c r="H10" s="33">
        <v>1745</v>
      </c>
      <c r="I10" s="33">
        <v>1814</v>
      </c>
      <c r="J10" s="34" t="s">
        <v>4653</v>
      </c>
      <c r="K10" s="34" t="s">
        <v>5958</v>
      </c>
    </row>
    <row r="11" spans="1:11" x14ac:dyDescent="0.3">
      <c r="A11" s="34" t="s">
        <v>6200</v>
      </c>
      <c r="B11" s="33" t="s">
        <v>6144</v>
      </c>
      <c r="C11" s="33">
        <v>1763</v>
      </c>
      <c r="D11" s="33"/>
      <c r="E11" s="33">
        <v>1830</v>
      </c>
      <c r="F11" s="33"/>
      <c r="G11" s="33" t="s">
        <v>6261</v>
      </c>
      <c r="H11" s="33">
        <v>1763</v>
      </c>
      <c r="I11" s="33">
        <v>1830</v>
      </c>
      <c r="J11" s="34" t="s">
        <v>4712</v>
      </c>
      <c r="K11" s="34" t="s">
        <v>6084</v>
      </c>
    </row>
    <row r="12" spans="1:11" x14ac:dyDescent="0.3">
      <c r="A12" s="34" t="s">
        <v>6201</v>
      </c>
      <c r="B12" s="33" t="s">
        <v>6145</v>
      </c>
      <c r="C12" s="33" t="s">
        <v>6262</v>
      </c>
      <c r="D12" s="33" t="s">
        <v>5767</v>
      </c>
      <c r="E12" s="33">
        <v>1785</v>
      </c>
      <c r="F12" s="33" t="s">
        <v>6263</v>
      </c>
      <c r="G12" s="33" t="s">
        <v>6264</v>
      </c>
      <c r="H12" s="33">
        <v>1721</v>
      </c>
      <c r="I12" s="33">
        <v>1785</v>
      </c>
      <c r="J12" s="34" t="s">
        <v>4650</v>
      </c>
      <c r="K12" s="34" t="s">
        <v>6085</v>
      </c>
    </row>
    <row r="13" spans="1:11" x14ac:dyDescent="0.3">
      <c r="A13" s="34" t="s">
        <v>6202</v>
      </c>
      <c r="B13" s="33" t="s">
        <v>6146</v>
      </c>
      <c r="C13" s="33" t="s">
        <v>6265</v>
      </c>
      <c r="D13" s="33"/>
      <c r="E13" s="33" t="s">
        <v>6266</v>
      </c>
      <c r="F13" s="33"/>
      <c r="G13" s="33" t="s">
        <v>6267</v>
      </c>
      <c r="H13" s="33">
        <v>1522</v>
      </c>
      <c r="I13" s="33">
        <v>1584</v>
      </c>
      <c r="J13" s="34" t="s">
        <v>4653</v>
      </c>
      <c r="K13" s="34" t="s">
        <v>6086</v>
      </c>
    </row>
    <row r="14" spans="1:11" x14ac:dyDescent="0.3">
      <c r="A14" s="34" t="s">
        <v>6054</v>
      </c>
      <c r="B14" s="33" t="s">
        <v>6147</v>
      </c>
      <c r="C14" s="33" t="s">
        <v>6268</v>
      </c>
      <c r="D14" s="33" t="s">
        <v>6270</v>
      </c>
      <c r="E14" s="33" t="s">
        <v>6269</v>
      </c>
      <c r="F14" s="33"/>
      <c r="G14" s="33" t="s">
        <v>6271</v>
      </c>
      <c r="H14" s="33">
        <v>1594</v>
      </c>
      <c r="I14" s="33">
        <v>1668</v>
      </c>
      <c r="J14" s="34" t="s">
        <v>5993</v>
      </c>
      <c r="K14" s="34" t="s">
        <v>6087</v>
      </c>
    </row>
    <row r="15" spans="1:11" x14ac:dyDescent="0.3">
      <c r="A15" s="34" t="s">
        <v>6045</v>
      </c>
      <c r="B15" s="33" t="s">
        <v>4245</v>
      </c>
      <c r="C15" s="33">
        <v>1610</v>
      </c>
      <c r="D15" s="33" t="s">
        <v>4964</v>
      </c>
      <c r="E15" s="33" t="s">
        <v>4965</v>
      </c>
      <c r="F15" s="33" t="s">
        <v>4966</v>
      </c>
      <c r="G15" s="33" t="s">
        <v>6272</v>
      </c>
      <c r="H15" s="33">
        <v>1610</v>
      </c>
      <c r="I15" s="33">
        <v>1700</v>
      </c>
      <c r="J15" s="34" t="s">
        <v>4736</v>
      </c>
      <c r="K15" s="34" t="s">
        <v>6088</v>
      </c>
    </row>
    <row r="16" spans="1:11" x14ac:dyDescent="0.3">
      <c r="A16" s="34" t="s">
        <v>6203</v>
      </c>
      <c r="B16" s="33" t="s">
        <v>6148</v>
      </c>
      <c r="C16" s="33">
        <v>1751</v>
      </c>
      <c r="D16" s="33" t="s">
        <v>215</v>
      </c>
      <c r="E16" s="33">
        <v>1823</v>
      </c>
      <c r="F16" s="33" t="s">
        <v>169</v>
      </c>
      <c r="G16" s="33" t="s">
        <v>6273</v>
      </c>
      <c r="H16" s="33">
        <v>1751</v>
      </c>
      <c r="I16" s="33">
        <v>1823</v>
      </c>
      <c r="J16" s="34" t="s">
        <v>5988</v>
      </c>
      <c r="K16" s="34" t="s">
        <v>6089</v>
      </c>
    </row>
    <row r="17" spans="1:11" x14ac:dyDescent="0.3">
      <c r="A17" s="34" t="s">
        <v>6055</v>
      </c>
      <c r="B17" s="33" t="s">
        <v>6149</v>
      </c>
      <c r="C17" s="33">
        <v>1747</v>
      </c>
      <c r="D17" s="33" t="s">
        <v>6274</v>
      </c>
      <c r="E17" s="33" t="s">
        <v>6275</v>
      </c>
      <c r="F17" s="33" t="s">
        <v>525</v>
      </c>
      <c r="G17" s="33" t="s">
        <v>6276</v>
      </c>
      <c r="H17" s="33">
        <v>1747</v>
      </c>
      <c r="I17" s="33">
        <v>1812</v>
      </c>
      <c r="J17" s="34" t="s">
        <v>4653</v>
      </c>
      <c r="K17" s="34" t="s">
        <v>6090</v>
      </c>
    </row>
    <row r="18" spans="1:11" x14ac:dyDescent="0.3">
      <c r="A18" s="34" t="s">
        <v>6056</v>
      </c>
      <c r="B18" s="33" t="s">
        <v>6150</v>
      </c>
      <c r="C18" s="33" t="s">
        <v>6277</v>
      </c>
      <c r="D18" s="33" t="s">
        <v>6278</v>
      </c>
      <c r="E18" s="33" t="s">
        <v>6279</v>
      </c>
      <c r="F18" s="33" t="s">
        <v>3580</v>
      </c>
      <c r="G18" s="33" t="s">
        <v>6280</v>
      </c>
      <c r="H18" s="33">
        <v>1732</v>
      </c>
      <c r="I18" s="33">
        <v>1803</v>
      </c>
      <c r="J18" s="34" t="s">
        <v>4673</v>
      </c>
      <c r="K18" s="34" t="s">
        <v>6091</v>
      </c>
    </row>
    <row r="19" spans="1:11" x14ac:dyDescent="0.3">
      <c r="A19" s="34" t="s">
        <v>6057</v>
      </c>
      <c r="B19" s="33" t="s">
        <v>6151</v>
      </c>
      <c r="C19" s="33" t="s">
        <v>6281</v>
      </c>
      <c r="D19" s="33" t="s">
        <v>309</v>
      </c>
      <c r="E19" s="33" t="s">
        <v>6282</v>
      </c>
      <c r="F19" s="33"/>
      <c r="G19" s="33" t="s">
        <v>6283</v>
      </c>
      <c r="H19" s="33">
        <v>1751</v>
      </c>
      <c r="I19" s="33">
        <v>1798</v>
      </c>
      <c r="J19" s="34" t="s">
        <v>4653</v>
      </c>
      <c r="K19" s="34" t="s">
        <v>6092</v>
      </c>
    </row>
    <row r="20" spans="1:11" x14ac:dyDescent="0.3">
      <c r="A20" s="34" t="s">
        <v>6204</v>
      </c>
      <c r="B20" s="33" t="s">
        <v>6152</v>
      </c>
      <c r="C20" s="33" t="s">
        <v>6284</v>
      </c>
      <c r="D20" s="33" t="s">
        <v>5767</v>
      </c>
      <c r="E20" s="33" t="s">
        <v>6285</v>
      </c>
      <c r="F20" s="33" t="s">
        <v>3580</v>
      </c>
      <c r="G20" s="33" t="s">
        <v>6286</v>
      </c>
      <c r="H20" s="33">
        <v>1685</v>
      </c>
      <c r="I20" s="33">
        <v>1758</v>
      </c>
      <c r="J20" s="34" t="s">
        <v>5988</v>
      </c>
      <c r="K20" s="34" t="s">
        <v>6093</v>
      </c>
    </row>
    <row r="21" spans="1:11" x14ac:dyDescent="0.3">
      <c r="A21" s="34" t="s">
        <v>6205</v>
      </c>
      <c r="B21" s="33" t="s">
        <v>6153</v>
      </c>
      <c r="C21" s="33">
        <v>1648</v>
      </c>
      <c r="D21" s="33" t="s">
        <v>402</v>
      </c>
      <c r="E21" s="33" t="s">
        <v>6287</v>
      </c>
      <c r="F21" s="33"/>
      <c r="G21" s="33" t="s">
        <v>6288</v>
      </c>
      <c r="H21" s="33">
        <v>1648</v>
      </c>
      <c r="I21" s="33">
        <v>1681</v>
      </c>
      <c r="J21" s="34" t="s">
        <v>4653</v>
      </c>
      <c r="K21" s="34" t="s">
        <v>6094</v>
      </c>
    </row>
    <row r="22" spans="1:11" x14ac:dyDescent="0.3">
      <c r="A22" s="34" t="s">
        <v>6206</v>
      </c>
      <c r="B22" s="33" t="s">
        <v>6154</v>
      </c>
      <c r="C22" s="33" t="s">
        <v>6289</v>
      </c>
      <c r="D22" s="33" t="s">
        <v>3580</v>
      </c>
      <c r="E22" s="33" t="s">
        <v>6290</v>
      </c>
      <c r="F22" s="33"/>
      <c r="G22" s="33" t="s">
        <v>6291</v>
      </c>
      <c r="H22" s="33">
        <v>1715</v>
      </c>
      <c r="I22" s="33">
        <v>1787</v>
      </c>
      <c r="J22" s="34" t="s">
        <v>4690</v>
      </c>
      <c r="K22" s="34" t="s">
        <v>6095</v>
      </c>
    </row>
    <row r="23" spans="1:11" x14ac:dyDescent="0.3">
      <c r="A23" s="34" t="s">
        <v>6207</v>
      </c>
      <c r="B23" s="33" t="s">
        <v>6156</v>
      </c>
      <c r="C23" s="33" t="s">
        <v>6292</v>
      </c>
      <c r="D23" s="33" t="s">
        <v>5771</v>
      </c>
      <c r="E23" s="33" t="s">
        <v>6293</v>
      </c>
      <c r="F23" s="33" t="s">
        <v>6294</v>
      </c>
      <c r="G23" s="33" t="s">
        <v>6295</v>
      </c>
      <c r="H23" s="33">
        <v>1697</v>
      </c>
      <c r="I23" s="33">
        <v>1735</v>
      </c>
      <c r="J23" s="34" t="s">
        <v>4650</v>
      </c>
      <c r="K23" s="34" t="s">
        <v>6033</v>
      </c>
    </row>
    <row r="24" spans="1:11" x14ac:dyDescent="0.3">
      <c r="A24" s="34" t="s">
        <v>6046</v>
      </c>
      <c r="B24" s="33" t="s">
        <v>6157</v>
      </c>
      <c r="C24" s="33" t="s">
        <v>6296</v>
      </c>
      <c r="D24" s="33" t="s">
        <v>6244</v>
      </c>
      <c r="E24" s="33" t="s">
        <v>6297</v>
      </c>
      <c r="F24" s="33" t="s">
        <v>6298</v>
      </c>
      <c r="G24" s="33" t="s">
        <v>6299</v>
      </c>
      <c r="H24" s="33">
        <v>1752</v>
      </c>
      <c r="I24" s="33">
        <v>1832</v>
      </c>
      <c r="J24" s="34" t="s">
        <v>5938</v>
      </c>
      <c r="K24" s="34" t="s">
        <v>6096</v>
      </c>
    </row>
    <row r="25" spans="1:11" x14ac:dyDescent="0.3">
      <c r="A25" s="34" t="s">
        <v>6070</v>
      </c>
      <c r="B25" s="33" t="s">
        <v>6158</v>
      </c>
      <c r="C25" s="33" t="s">
        <v>6300</v>
      </c>
      <c r="D25" s="33" t="s">
        <v>6301</v>
      </c>
      <c r="E25" s="33" t="s">
        <v>6302</v>
      </c>
      <c r="F25" s="33" t="s">
        <v>6303</v>
      </c>
      <c r="G25" s="33" t="s">
        <v>6304</v>
      </c>
      <c r="H25" s="33">
        <v>1726</v>
      </c>
      <c r="I25" s="33">
        <v>1807</v>
      </c>
      <c r="J25" s="34" t="s">
        <v>4754</v>
      </c>
      <c r="K25" s="34" t="s">
        <v>6097</v>
      </c>
    </row>
    <row r="26" spans="1:11" x14ac:dyDescent="0.3">
      <c r="A26" s="34" t="s">
        <v>6058</v>
      </c>
      <c r="B26" s="33" t="s">
        <v>6159</v>
      </c>
      <c r="C26" s="33" t="s">
        <v>6305</v>
      </c>
      <c r="D26" s="33" t="s">
        <v>6306</v>
      </c>
      <c r="E26" s="33">
        <v>1770</v>
      </c>
      <c r="F26" s="33" t="s">
        <v>6307</v>
      </c>
      <c r="G26" s="33" t="s">
        <v>6308</v>
      </c>
      <c r="H26" s="33">
        <v>1701</v>
      </c>
      <c r="I26" s="33">
        <v>1770</v>
      </c>
      <c r="J26" s="34" t="s">
        <v>6098</v>
      </c>
      <c r="K26" s="34" t="s">
        <v>6099</v>
      </c>
    </row>
    <row r="27" spans="1:11" x14ac:dyDescent="0.3">
      <c r="A27" s="34" t="s">
        <v>6059</v>
      </c>
      <c r="B27" s="33" t="s">
        <v>6160</v>
      </c>
      <c r="C27" s="33" t="s">
        <v>6309</v>
      </c>
      <c r="D27" s="33" t="s">
        <v>6310</v>
      </c>
      <c r="E27" s="33"/>
      <c r="F27" s="33"/>
      <c r="G27" s="33" t="s">
        <v>6311</v>
      </c>
      <c r="H27" s="33">
        <v>1738</v>
      </c>
      <c r="I27" s="33"/>
      <c r="J27" s="34" t="s">
        <v>6100</v>
      </c>
      <c r="K27" s="34" t="s">
        <v>6099</v>
      </c>
    </row>
    <row r="28" spans="1:11" x14ac:dyDescent="0.3">
      <c r="A28" s="34" t="s">
        <v>6208</v>
      </c>
      <c r="B28" s="33" t="s">
        <v>6161</v>
      </c>
      <c r="C28" s="33" t="s">
        <v>6312</v>
      </c>
      <c r="D28" s="33" t="s">
        <v>330</v>
      </c>
      <c r="E28" s="33" t="s">
        <v>6313</v>
      </c>
      <c r="F28" s="33" t="s">
        <v>3295</v>
      </c>
      <c r="G28" s="33" t="s">
        <v>6314</v>
      </c>
      <c r="H28" s="33">
        <v>1740</v>
      </c>
      <c r="I28" s="33">
        <v>1817</v>
      </c>
      <c r="J28" s="34" t="s">
        <v>5915</v>
      </c>
      <c r="K28" s="34" t="s">
        <v>6101</v>
      </c>
    </row>
    <row r="29" spans="1:11" x14ac:dyDescent="0.3">
      <c r="A29" s="34" t="s">
        <v>6209</v>
      </c>
      <c r="B29" s="33" t="s">
        <v>6162</v>
      </c>
      <c r="C29" s="33" t="s">
        <v>6315</v>
      </c>
      <c r="D29" s="33" t="s">
        <v>5313</v>
      </c>
      <c r="E29" s="33" t="s">
        <v>6316</v>
      </c>
      <c r="F29" s="33"/>
      <c r="G29" s="33" t="s">
        <v>6317</v>
      </c>
      <c r="H29" s="33">
        <v>1666</v>
      </c>
      <c r="I29" s="33">
        <v>1732</v>
      </c>
      <c r="J29" s="34" t="s">
        <v>6073</v>
      </c>
      <c r="K29" s="34" t="s">
        <v>6074</v>
      </c>
    </row>
    <row r="30" spans="1:11" x14ac:dyDescent="0.3">
      <c r="A30" s="34" t="s">
        <v>6210</v>
      </c>
      <c r="B30" s="33" t="s">
        <v>6163</v>
      </c>
      <c r="C30" s="33">
        <v>1615</v>
      </c>
      <c r="D30" s="33" t="s">
        <v>297</v>
      </c>
      <c r="E30" s="33" t="s">
        <v>6318</v>
      </c>
      <c r="F30" s="33"/>
      <c r="G30" s="33" t="s">
        <v>6319</v>
      </c>
      <c r="H30" s="33">
        <v>1615</v>
      </c>
      <c r="I30" s="33">
        <v>1702</v>
      </c>
      <c r="J30" s="34" t="s">
        <v>5971</v>
      </c>
      <c r="K30" s="34" t="s">
        <v>6074</v>
      </c>
    </row>
    <row r="31" spans="1:11" x14ac:dyDescent="0.3">
      <c r="A31" s="34" t="s">
        <v>6071</v>
      </c>
      <c r="B31" s="33" t="s">
        <v>6164</v>
      </c>
      <c r="C31" s="33"/>
      <c r="D31" s="33" t="s">
        <v>564</v>
      </c>
      <c r="E31" s="33">
        <v>1767</v>
      </c>
      <c r="F31" s="33"/>
      <c r="G31" s="33" t="s">
        <v>6320</v>
      </c>
      <c r="H31" s="33"/>
      <c r="I31" s="33">
        <v>1767</v>
      </c>
      <c r="J31" s="34" t="s">
        <v>6102</v>
      </c>
      <c r="K31" s="34" t="s">
        <v>6074</v>
      </c>
    </row>
    <row r="32" spans="1:11" x14ac:dyDescent="0.3">
      <c r="A32" s="34" t="s">
        <v>6211</v>
      </c>
      <c r="B32" s="33" t="s">
        <v>6165</v>
      </c>
      <c r="C32" s="33"/>
      <c r="D32" s="33" t="s">
        <v>6321</v>
      </c>
      <c r="E32" s="33" t="s">
        <v>6322</v>
      </c>
      <c r="F32" s="33" t="s">
        <v>6323</v>
      </c>
      <c r="G32" s="33" t="s">
        <v>6324</v>
      </c>
      <c r="H32" s="33"/>
      <c r="I32" s="33">
        <v>1772</v>
      </c>
      <c r="J32" s="34" t="s">
        <v>6103</v>
      </c>
      <c r="K32" s="34" t="s">
        <v>6104</v>
      </c>
    </row>
    <row r="33" spans="1:11" x14ac:dyDescent="0.3">
      <c r="A33" s="34" t="s">
        <v>6047</v>
      </c>
      <c r="B33" s="33" t="s">
        <v>6166</v>
      </c>
      <c r="C33" s="33" t="s">
        <v>3693</v>
      </c>
      <c r="D33" s="33" t="s">
        <v>396</v>
      </c>
      <c r="E33" s="33">
        <v>1769</v>
      </c>
      <c r="F33" s="33"/>
      <c r="G33" s="33" t="s">
        <v>6325</v>
      </c>
      <c r="H33" s="33">
        <v>1728</v>
      </c>
      <c r="I33" s="33">
        <v>1769</v>
      </c>
      <c r="J33" s="34" t="s">
        <v>5924</v>
      </c>
      <c r="K33" s="34" t="s">
        <v>6105</v>
      </c>
    </row>
    <row r="34" spans="1:11" x14ac:dyDescent="0.3">
      <c r="A34" s="34" t="s">
        <v>6212</v>
      </c>
      <c r="B34" s="33" t="s">
        <v>6167</v>
      </c>
      <c r="C34" s="33" t="s">
        <v>6326</v>
      </c>
      <c r="D34" s="33" t="s">
        <v>6327</v>
      </c>
      <c r="E34" s="33" t="s">
        <v>6328</v>
      </c>
      <c r="F34" s="33" t="s">
        <v>6329</v>
      </c>
      <c r="G34" s="33" t="s">
        <v>6330</v>
      </c>
      <c r="H34" s="33">
        <v>1756</v>
      </c>
      <c r="I34" s="33">
        <v>1816</v>
      </c>
      <c r="J34" s="34" t="s">
        <v>4652</v>
      </c>
      <c r="K34" s="34" t="s">
        <v>6106</v>
      </c>
    </row>
    <row r="35" spans="1:11" x14ac:dyDescent="0.3">
      <c r="A35" s="34" t="s">
        <v>6213</v>
      </c>
      <c r="B35" s="33" t="s">
        <v>6168</v>
      </c>
      <c r="C35" s="33" t="s">
        <v>6331</v>
      </c>
      <c r="D35" s="33" t="s">
        <v>564</v>
      </c>
      <c r="E35" s="33" t="s">
        <v>6332</v>
      </c>
      <c r="F35" s="33"/>
      <c r="G35" s="33" t="s">
        <v>6333</v>
      </c>
      <c r="H35" s="33">
        <v>1689</v>
      </c>
      <c r="I35" s="33">
        <v>1761</v>
      </c>
      <c r="J35" s="34" t="s">
        <v>4690</v>
      </c>
      <c r="K35" s="34" t="s">
        <v>6107</v>
      </c>
    </row>
    <row r="36" spans="1:11" x14ac:dyDescent="0.3">
      <c r="A36" s="34" t="s">
        <v>6214</v>
      </c>
      <c r="B36" s="33" t="s">
        <v>6169</v>
      </c>
      <c r="C36" s="33">
        <v>1721</v>
      </c>
      <c r="D36" s="33" t="s">
        <v>6334</v>
      </c>
      <c r="E36" s="33" t="s">
        <v>6335</v>
      </c>
      <c r="F36" s="33"/>
      <c r="G36" s="33" t="s">
        <v>6336</v>
      </c>
      <c r="H36" s="33">
        <v>1721</v>
      </c>
      <c r="I36" s="33">
        <v>1784</v>
      </c>
      <c r="J36" s="34" t="s">
        <v>4653</v>
      </c>
      <c r="K36" s="34" t="s">
        <v>6108</v>
      </c>
    </row>
    <row r="37" spans="1:11" x14ac:dyDescent="0.3">
      <c r="A37" s="34" t="s">
        <v>6215</v>
      </c>
      <c r="B37" s="33" t="s">
        <v>6170</v>
      </c>
      <c r="C37" s="33" t="s">
        <v>6337</v>
      </c>
      <c r="D37" s="33" t="s">
        <v>525</v>
      </c>
      <c r="E37" s="33" t="s">
        <v>6338</v>
      </c>
      <c r="F37" s="33"/>
      <c r="G37" s="33" t="s">
        <v>6339</v>
      </c>
      <c r="H37" s="33">
        <v>1748</v>
      </c>
      <c r="I37" s="33">
        <v>1810</v>
      </c>
      <c r="J37" s="34" t="s">
        <v>4650</v>
      </c>
      <c r="K37" s="34" t="s">
        <v>6109</v>
      </c>
    </row>
    <row r="38" spans="1:11" x14ac:dyDescent="0.3">
      <c r="A38" s="34" t="s">
        <v>6060</v>
      </c>
      <c r="B38" s="33" t="s">
        <v>6171</v>
      </c>
      <c r="C38" s="33">
        <v>1628</v>
      </c>
      <c r="D38" s="33" t="s">
        <v>6340</v>
      </c>
      <c r="E38" s="33" t="s">
        <v>6341</v>
      </c>
      <c r="F38" s="33" t="s">
        <v>3580</v>
      </c>
      <c r="G38" s="33" t="s">
        <v>6342</v>
      </c>
      <c r="H38" s="33">
        <v>1628</v>
      </c>
      <c r="I38" s="33">
        <v>1674</v>
      </c>
      <c r="J38" s="34" t="s">
        <v>6110</v>
      </c>
      <c r="K38" s="34" t="s">
        <v>6111</v>
      </c>
    </row>
    <row r="39" spans="1:11" x14ac:dyDescent="0.3">
      <c r="A39" s="34" t="s">
        <v>6061</v>
      </c>
      <c r="B39" s="33" t="s">
        <v>6172</v>
      </c>
      <c r="C39" s="33">
        <v>1689</v>
      </c>
      <c r="D39" s="33" t="s">
        <v>6343</v>
      </c>
      <c r="E39" s="33">
        <v>1742</v>
      </c>
      <c r="F39" s="33"/>
      <c r="G39" s="33" t="s">
        <v>6344</v>
      </c>
      <c r="H39" s="33">
        <v>1689</v>
      </c>
      <c r="I39" s="33">
        <v>1742</v>
      </c>
      <c r="J39" s="34" t="s">
        <v>5971</v>
      </c>
      <c r="K39" s="34" t="s">
        <v>6112</v>
      </c>
    </row>
    <row r="40" spans="1:11" x14ac:dyDescent="0.3">
      <c r="A40" s="34" t="s">
        <v>6216</v>
      </c>
      <c r="B40" s="33" t="s">
        <v>6173</v>
      </c>
      <c r="C40" s="33" t="s">
        <v>6345</v>
      </c>
      <c r="D40" s="33" t="s">
        <v>564</v>
      </c>
      <c r="E40" s="33">
        <v>1769</v>
      </c>
      <c r="F40" s="33"/>
      <c r="G40" s="33" t="s">
        <v>6346</v>
      </c>
      <c r="H40" s="33">
        <v>1696</v>
      </c>
      <c r="I40" s="33">
        <v>1769</v>
      </c>
      <c r="J40" s="34" t="s">
        <v>5971</v>
      </c>
      <c r="K40" s="34" t="s">
        <v>6113</v>
      </c>
    </row>
    <row r="41" spans="1:11" x14ac:dyDescent="0.3">
      <c r="A41" s="34" t="s">
        <v>6048</v>
      </c>
      <c r="B41" s="33" t="s">
        <v>6174</v>
      </c>
      <c r="C41" s="33">
        <v>1727</v>
      </c>
      <c r="D41" s="33" t="s">
        <v>6347</v>
      </c>
      <c r="E41" s="33">
        <v>1813</v>
      </c>
      <c r="F41" s="33" t="s">
        <v>6348</v>
      </c>
      <c r="G41" s="33" t="s">
        <v>6349</v>
      </c>
      <c r="H41" s="33">
        <v>1727</v>
      </c>
      <c r="I41" s="33">
        <v>1813</v>
      </c>
      <c r="J41" s="34" t="s">
        <v>5971</v>
      </c>
      <c r="K41" s="34" t="s">
        <v>6114</v>
      </c>
    </row>
    <row r="42" spans="1:11" x14ac:dyDescent="0.3">
      <c r="A42" s="34" t="s">
        <v>6062</v>
      </c>
      <c r="B42" s="33" t="s">
        <v>6175</v>
      </c>
      <c r="C42" s="33" t="s">
        <v>6350</v>
      </c>
      <c r="D42" s="33" t="s">
        <v>525</v>
      </c>
      <c r="E42" s="33" t="s">
        <v>6351</v>
      </c>
      <c r="F42" s="33"/>
      <c r="G42" s="33" t="s">
        <v>6352</v>
      </c>
      <c r="H42" s="33">
        <v>1697</v>
      </c>
      <c r="I42" s="33">
        <v>1749</v>
      </c>
      <c r="J42" s="34" t="s">
        <v>4754</v>
      </c>
      <c r="K42" s="34" t="s">
        <v>6115</v>
      </c>
    </row>
    <row r="43" spans="1:11" x14ac:dyDescent="0.3">
      <c r="A43" s="34" t="s">
        <v>6217</v>
      </c>
      <c r="B43" s="33" t="s">
        <v>6176</v>
      </c>
      <c r="C43" s="33">
        <v>1714</v>
      </c>
      <c r="D43" s="33" t="s">
        <v>6354</v>
      </c>
      <c r="E43" s="33" t="s">
        <v>6353</v>
      </c>
      <c r="F43" s="33"/>
      <c r="G43" s="33" t="s">
        <v>6355</v>
      </c>
      <c r="H43" s="33">
        <v>1714</v>
      </c>
      <c r="I43" s="33">
        <v>1770</v>
      </c>
      <c r="J43" s="34" t="s">
        <v>4650</v>
      </c>
      <c r="K43" s="34" t="s">
        <v>4747</v>
      </c>
    </row>
    <row r="44" spans="1:11" x14ac:dyDescent="0.3">
      <c r="A44" s="34" t="s">
        <v>6218</v>
      </c>
      <c r="B44" s="33" t="s">
        <v>6177</v>
      </c>
      <c r="C44" s="33" t="s">
        <v>6356</v>
      </c>
      <c r="D44" s="33" t="s">
        <v>6357</v>
      </c>
      <c r="E44" s="33" t="s">
        <v>6358</v>
      </c>
      <c r="F44" s="33"/>
      <c r="G44" s="33" t="s">
        <v>6359</v>
      </c>
      <c r="H44" s="33">
        <v>1699</v>
      </c>
      <c r="I44" s="33">
        <v>1750</v>
      </c>
      <c r="J44" s="34" t="s">
        <v>5915</v>
      </c>
      <c r="K44" s="34" t="s">
        <v>6116</v>
      </c>
    </row>
    <row r="45" spans="1:11" x14ac:dyDescent="0.3">
      <c r="A45" s="34" t="s">
        <v>6219</v>
      </c>
      <c r="B45" s="33" t="s">
        <v>6178</v>
      </c>
      <c r="C45" s="33"/>
      <c r="D45" s="33"/>
      <c r="E45" s="33">
        <v>1691</v>
      </c>
      <c r="F45" s="33"/>
      <c r="G45" s="33" t="s">
        <v>6360</v>
      </c>
      <c r="H45" s="33"/>
      <c r="I45" s="33">
        <v>1691</v>
      </c>
      <c r="J45" s="34" t="s">
        <v>1291</v>
      </c>
      <c r="K45" s="34" t="s">
        <v>6117</v>
      </c>
    </row>
    <row r="46" spans="1:11" x14ac:dyDescent="0.3">
      <c r="A46" s="34" t="s">
        <v>6063</v>
      </c>
      <c r="B46" s="33" t="s">
        <v>6179</v>
      </c>
      <c r="C46" s="33" t="s">
        <v>6361</v>
      </c>
      <c r="D46" s="33" t="s">
        <v>6363</v>
      </c>
      <c r="E46" s="33" t="s">
        <v>6362</v>
      </c>
      <c r="F46" s="33" t="s">
        <v>4855</v>
      </c>
      <c r="G46" s="33" t="s">
        <v>6364</v>
      </c>
      <c r="H46" s="33">
        <v>1733</v>
      </c>
      <c r="I46" s="33">
        <v>1773</v>
      </c>
      <c r="J46" s="34" t="s">
        <v>5915</v>
      </c>
      <c r="K46" s="34" t="s">
        <v>6118</v>
      </c>
    </row>
    <row r="47" spans="1:11" x14ac:dyDescent="0.3">
      <c r="A47" s="34" t="s">
        <v>6064</v>
      </c>
      <c r="B47" s="33" t="s">
        <v>6179</v>
      </c>
      <c r="C47" s="33" t="s">
        <v>6365</v>
      </c>
      <c r="D47" s="33"/>
      <c r="E47" s="33" t="s">
        <v>6366</v>
      </c>
      <c r="F47" s="33" t="s">
        <v>6367</v>
      </c>
      <c r="G47" s="33" t="s">
        <v>6368</v>
      </c>
      <c r="H47" s="33">
        <v>1740</v>
      </c>
      <c r="I47" s="33">
        <v>1774</v>
      </c>
      <c r="J47" s="34" t="s">
        <v>6119</v>
      </c>
      <c r="K47" s="34" t="s">
        <v>6118</v>
      </c>
    </row>
    <row r="48" spans="1:11" x14ac:dyDescent="0.3">
      <c r="A48" s="34" t="s">
        <v>6065</v>
      </c>
      <c r="B48" s="33" t="s">
        <v>6180</v>
      </c>
      <c r="C48" s="33">
        <v>1724</v>
      </c>
      <c r="D48" s="33" t="s">
        <v>190</v>
      </c>
      <c r="E48" s="33" t="s">
        <v>6369</v>
      </c>
      <c r="F48" s="33" t="s">
        <v>5586</v>
      </c>
      <c r="G48" s="33" t="s">
        <v>6370</v>
      </c>
      <c r="H48" s="33">
        <v>1724</v>
      </c>
      <c r="I48" s="33">
        <v>1802</v>
      </c>
      <c r="J48" s="34" t="s">
        <v>4650</v>
      </c>
      <c r="K48" s="34" t="s">
        <v>6120</v>
      </c>
    </row>
    <row r="49" spans="1:11" x14ac:dyDescent="0.3">
      <c r="A49" s="34" t="s">
        <v>6220</v>
      </c>
      <c r="B49" s="33" t="s">
        <v>6181</v>
      </c>
      <c r="C49" s="33"/>
      <c r="D49" s="33"/>
      <c r="E49" s="33" t="s">
        <v>6371</v>
      </c>
      <c r="F49" s="33" t="s">
        <v>6372</v>
      </c>
      <c r="G49" s="33" t="s">
        <v>6373</v>
      </c>
      <c r="H49" s="33"/>
      <c r="I49" s="33">
        <v>1766</v>
      </c>
      <c r="J49" s="34" t="s">
        <v>5898</v>
      </c>
      <c r="K49" s="34" t="s">
        <v>6121</v>
      </c>
    </row>
    <row r="50" spans="1:11" x14ac:dyDescent="0.3">
      <c r="A50" s="34" t="s">
        <v>6221</v>
      </c>
      <c r="B50" s="33" t="s">
        <v>6182</v>
      </c>
      <c r="C50" s="33" t="s">
        <v>6374</v>
      </c>
      <c r="D50" s="33" t="s">
        <v>564</v>
      </c>
      <c r="E50" s="33" t="s">
        <v>6375</v>
      </c>
      <c r="F50" s="33"/>
      <c r="G50" s="33" t="s">
        <v>6376</v>
      </c>
      <c r="H50" s="33">
        <v>1761</v>
      </c>
      <c r="I50" s="33">
        <v>1845</v>
      </c>
      <c r="J50" s="34" t="s">
        <v>4673</v>
      </c>
      <c r="K50" s="34" t="s">
        <v>6122</v>
      </c>
    </row>
    <row r="51" spans="1:11" x14ac:dyDescent="0.3">
      <c r="A51" s="34" t="s">
        <v>6075</v>
      </c>
      <c r="B51" s="33" t="s">
        <v>6183</v>
      </c>
      <c r="C51" s="33" t="s">
        <v>6377</v>
      </c>
      <c r="D51" s="33" t="s">
        <v>6380</v>
      </c>
      <c r="E51" s="33" t="s">
        <v>6379</v>
      </c>
      <c r="F51" s="33"/>
      <c r="G51" s="33" t="s">
        <v>6381</v>
      </c>
      <c r="H51" s="33" t="s">
        <v>6378</v>
      </c>
      <c r="I51" s="33">
        <v>1758</v>
      </c>
      <c r="J51" s="34" t="s">
        <v>6076</v>
      </c>
      <c r="K51" s="34" t="s">
        <v>6077</v>
      </c>
    </row>
    <row r="52" spans="1:11" x14ac:dyDescent="0.3">
      <c r="A52" s="34" t="s">
        <v>6075</v>
      </c>
      <c r="B52" s="33" t="s">
        <v>6184</v>
      </c>
      <c r="C52" s="33" t="s">
        <v>6382</v>
      </c>
      <c r="D52" s="33" t="s">
        <v>6383</v>
      </c>
      <c r="E52" s="33" t="s">
        <v>6384</v>
      </c>
      <c r="F52" s="33" t="s">
        <v>6385</v>
      </c>
      <c r="G52" s="33" t="s">
        <v>6386</v>
      </c>
      <c r="H52" s="33">
        <v>1721</v>
      </c>
      <c r="I52" s="33">
        <v>1784</v>
      </c>
      <c r="J52" s="34" t="s">
        <v>6076</v>
      </c>
      <c r="K52" s="34" t="s">
        <v>6077</v>
      </c>
    </row>
    <row r="53" spans="1:11" x14ac:dyDescent="0.3">
      <c r="A53" s="34" t="s">
        <v>6066</v>
      </c>
      <c r="B53" s="33" t="s">
        <v>6185</v>
      </c>
      <c r="C53" s="33" t="s">
        <v>6387</v>
      </c>
      <c r="D53" s="33" t="s">
        <v>3444</v>
      </c>
      <c r="E53" s="33" t="s">
        <v>6388</v>
      </c>
      <c r="F53" s="33" t="s">
        <v>6389</v>
      </c>
      <c r="G53" s="33" t="s">
        <v>6390</v>
      </c>
      <c r="H53" s="33">
        <v>1754</v>
      </c>
      <c r="I53" s="33">
        <v>1799</v>
      </c>
      <c r="J53" s="34" t="s">
        <v>6076</v>
      </c>
      <c r="K53" s="34" t="s">
        <v>6077</v>
      </c>
    </row>
    <row r="54" spans="1:11" x14ac:dyDescent="0.3">
      <c r="A54" s="34" t="s">
        <v>6049</v>
      </c>
      <c r="B54" s="33" t="s">
        <v>6186</v>
      </c>
      <c r="C54" s="33" t="s">
        <v>6391</v>
      </c>
      <c r="D54" s="33" t="s">
        <v>6392</v>
      </c>
      <c r="E54" s="33" t="s">
        <v>6393</v>
      </c>
      <c r="F54" s="33" t="s">
        <v>3722</v>
      </c>
      <c r="G54" s="33" t="s">
        <v>6394</v>
      </c>
      <c r="H54" s="33">
        <v>1773</v>
      </c>
      <c r="I54" s="33">
        <v>1839</v>
      </c>
      <c r="J54" s="34" t="s">
        <v>6123</v>
      </c>
      <c r="K54" s="34" t="s">
        <v>6124</v>
      </c>
    </row>
    <row r="55" spans="1:11" x14ac:dyDescent="0.3">
      <c r="A55" s="34" t="s">
        <v>6222</v>
      </c>
      <c r="B55" s="33" t="s">
        <v>6187</v>
      </c>
      <c r="C55" s="33" t="s">
        <v>6395</v>
      </c>
      <c r="D55" s="33" t="s">
        <v>6397</v>
      </c>
      <c r="E55" s="33" t="s">
        <v>6396</v>
      </c>
      <c r="F55" s="33"/>
      <c r="G55" s="33" t="s">
        <v>6398</v>
      </c>
      <c r="H55" s="33">
        <v>1715</v>
      </c>
      <c r="I55" s="33">
        <v>1785</v>
      </c>
      <c r="J55" s="34" t="s">
        <v>5915</v>
      </c>
      <c r="K55" s="34" t="s">
        <v>6125</v>
      </c>
    </row>
    <row r="56" spans="1:11" x14ac:dyDescent="0.3">
      <c r="A56" s="34" t="s">
        <v>6223</v>
      </c>
      <c r="B56" s="33" t="s">
        <v>6188</v>
      </c>
      <c r="C56" s="33" t="s">
        <v>6399</v>
      </c>
      <c r="D56" s="33" t="s">
        <v>6400</v>
      </c>
      <c r="E56" s="33" t="s">
        <v>6401</v>
      </c>
      <c r="F56" s="33"/>
      <c r="G56" s="33" t="s">
        <v>6402</v>
      </c>
      <c r="H56" s="33">
        <v>1749</v>
      </c>
      <c r="I56" s="33">
        <v>1831</v>
      </c>
      <c r="J56" s="34" t="s">
        <v>6126</v>
      </c>
      <c r="K56" s="34" t="s">
        <v>5988</v>
      </c>
    </row>
    <row r="57" spans="1:11" x14ac:dyDescent="0.3">
      <c r="A57" s="34" t="s">
        <v>6067</v>
      </c>
      <c r="B57" s="33" t="s">
        <v>6189</v>
      </c>
      <c r="C57" s="33" t="s">
        <v>6403</v>
      </c>
      <c r="D57" s="33"/>
      <c r="E57" s="33" t="s">
        <v>6404</v>
      </c>
      <c r="F57" s="33" t="s">
        <v>6405</v>
      </c>
      <c r="G57" s="33" t="s">
        <v>6406</v>
      </c>
      <c r="H57" s="33">
        <v>1727</v>
      </c>
      <c r="I57" s="33">
        <v>1792</v>
      </c>
      <c r="J57" s="34" t="s">
        <v>6127</v>
      </c>
      <c r="K57" s="34" t="s">
        <v>6128</v>
      </c>
    </row>
    <row r="58" spans="1:11" x14ac:dyDescent="0.3">
      <c r="A58" s="34" t="s">
        <v>6068</v>
      </c>
      <c r="B58" s="33" t="s">
        <v>6190</v>
      </c>
      <c r="C58" s="33"/>
      <c r="D58" s="33" t="s">
        <v>5653</v>
      </c>
      <c r="E58" s="33">
        <v>1757</v>
      </c>
      <c r="F58" s="33"/>
      <c r="G58" s="33" t="s">
        <v>6407</v>
      </c>
      <c r="H58" s="33"/>
      <c r="I58" s="33">
        <v>1757</v>
      </c>
      <c r="J58" s="34" t="s">
        <v>6129</v>
      </c>
      <c r="K58" s="34" t="s">
        <v>6128</v>
      </c>
    </row>
    <row r="59" spans="1:11" x14ac:dyDescent="0.3">
      <c r="A59" s="34" t="s">
        <v>6069</v>
      </c>
      <c r="B59" s="33" t="s">
        <v>6191</v>
      </c>
      <c r="C59" s="33">
        <v>1724</v>
      </c>
      <c r="D59" s="33" t="s">
        <v>5653</v>
      </c>
      <c r="E59" s="33">
        <v>1782</v>
      </c>
      <c r="F59" s="33"/>
      <c r="G59" s="33" t="s">
        <v>6408</v>
      </c>
      <c r="H59" s="33">
        <v>1724</v>
      </c>
      <c r="I59" s="33">
        <v>1782</v>
      </c>
      <c r="J59" s="34" t="s">
        <v>5932</v>
      </c>
      <c r="K59" s="34" t="s">
        <v>6128</v>
      </c>
    </row>
    <row r="60" spans="1:11" ht="15" x14ac:dyDescent="0.35">
      <c r="A60" s="34" t="s">
        <v>6072</v>
      </c>
      <c r="B60" s="33" t="s">
        <v>6192</v>
      </c>
      <c r="C60" s="33" t="s">
        <v>6410</v>
      </c>
      <c r="D60" s="33" t="s">
        <v>6411</v>
      </c>
      <c r="E60" s="33" t="s">
        <v>6412</v>
      </c>
      <c r="F60" s="33" t="s">
        <v>6413</v>
      </c>
      <c r="G60" s="36" t="s">
        <v>6409</v>
      </c>
      <c r="H60" s="33">
        <v>1691</v>
      </c>
      <c r="I60" s="33">
        <v>1772</v>
      </c>
      <c r="J60" s="34" t="s">
        <v>4673</v>
      </c>
      <c r="K60" s="34" t="s">
        <v>6130</v>
      </c>
    </row>
    <row r="61" spans="1:11" x14ac:dyDescent="0.3">
      <c r="A61" s="34" t="s">
        <v>6224</v>
      </c>
      <c r="B61" s="33" t="s">
        <v>6193</v>
      </c>
      <c r="C61" s="33" t="s">
        <v>6414</v>
      </c>
      <c r="D61" s="33" t="s">
        <v>6415</v>
      </c>
      <c r="E61" s="33" t="s">
        <v>6416</v>
      </c>
      <c r="F61" s="33" t="s">
        <v>6417</v>
      </c>
      <c r="G61" s="33" t="s">
        <v>6418</v>
      </c>
      <c r="H61" s="33">
        <v>1787</v>
      </c>
      <c r="I61" s="33">
        <v>1850</v>
      </c>
      <c r="J61" s="34" t="s">
        <v>5915</v>
      </c>
      <c r="K61" s="34" t="s">
        <v>5969</v>
      </c>
    </row>
    <row r="62" spans="1:11" x14ac:dyDescent="0.3">
      <c r="A62" s="34" t="s">
        <v>6225</v>
      </c>
      <c r="B62" s="33" t="s">
        <v>6194</v>
      </c>
      <c r="C62" s="33"/>
      <c r="D62" s="33"/>
      <c r="E62" s="33">
        <v>1733</v>
      </c>
      <c r="F62" s="33"/>
      <c r="G62" s="4" t="s">
        <v>6419</v>
      </c>
      <c r="H62" s="33"/>
      <c r="I62" s="33">
        <v>1733</v>
      </c>
      <c r="J62" s="34" t="s">
        <v>5988</v>
      </c>
      <c r="K62" s="34" t="s">
        <v>6131</v>
      </c>
    </row>
    <row r="63" spans="1:11" x14ac:dyDescent="0.3">
      <c r="A63" s="34" t="s">
        <v>6050</v>
      </c>
      <c r="B63" s="33" t="s">
        <v>6195</v>
      </c>
      <c r="C63" s="33" t="s">
        <v>6420</v>
      </c>
      <c r="D63" s="33"/>
      <c r="E63" s="33" t="s">
        <v>6421</v>
      </c>
      <c r="F63" s="33" t="s">
        <v>6422</v>
      </c>
      <c r="G63" s="33" t="s">
        <v>6423</v>
      </c>
      <c r="H63" s="33">
        <v>1697</v>
      </c>
      <c r="I63" s="33">
        <v>1746</v>
      </c>
      <c r="J63" s="34" t="s">
        <v>6132</v>
      </c>
      <c r="K63" s="34" t="s">
        <v>6133</v>
      </c>
    </row>
    <row r="64" spans="1:11" x14ac:dyDescent="0.3">
      <c r="A64" s="37" t="s">
        <v>6427</v>
      </c>
      <c r="B64" s="33" t="s">
        <v>6428</v>
      </c>
      <c r="C64" s="34" t="s">
        <v>6424</v>
      </c>
      <c r="D64" s="34" t="s">
        <v>3832</v>
      </c>
      <c r="E64" s="34" t="s">
        <v>6425</v>
      </c>
      <c r="F64" s="34" t="s">
        <v>3229</v>
      </c>
      <c r="G64" s="34" t="s">
        <v>6426</v>
      </c>
      <c r="H64" s="34">
        <v>1769</v>
      </c>
      <c r="I64" s="34">
        <v>1798</v>
      </c>
      <c r="J64" s="37" t="s">
        <v>6429</v>
      </c>
      <c r="K64" s="34" t="s">
        <v>6430</v>
      </c>
    </row>
  </sheetData>
  <hyperlinks>
    <hyperlink ref="G62" r:id="rId1" location="cite_note-1" display="https://en.wikipedia.org/wiki/Thomas_Whitemarsh - cite_note-1" xr:uid="{6B89277A-7323-4C43-8476-631147689B15}"/>
    <hyperlink ref="B1" r:id="rId2" xr:uid="{270E47CA-25F3-47BA-907A-CB4B5AE11B37}"/>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CBD58-CB9D-43D2-A1EE-D4BF7AB89701}">
  <sheetPr codeName="Sheet7"/>
  <dimension ref="A1:G104"/>
  <sheetViews>
    <sheetView tabSelected="1" zoomScale="235" zoomScaleNormal="235" workbookViewId="0">
      <selection activeCell="G104" sqref="G1:G104"/>
    </sheetView>
  </sheetViews>
  <sheetFormatPr defaultRowHeight="14.4" x14ac:dyDescent="0.3"/>
  <cols>
    <col min="1" max="1" width="34.109375" bestFit="1" customWidth="1"/>
  </cols>
  <sheetData>
    <row r="1" spans="1:7" x14ac:dyDescent="0.3">
      <c r="A1" t="s">
        <v>6431</v>
      </c>
      <c r="B1" t="s">
        <v>6432</v>
      </c>
      <c r="G1" t="s">
        <v>6612</v>
      </c>
    </row>
    <row r="2" spans="1:7" x14ac:dyDescent="0.3">
      <c r="A2" t="s">
        <v>6433</v>
      </c>
      <c r="B2" t="s">
        <v>6434</v>
      </c>
      <c r="G2" t="s">
        <v>6613</v>
      </c>
    </row>
    <row r="3" spans="1:7" x14ac:dyDescent="0.3">
      <c r="A3" t="s">
        <v>2472</v>
      </c>
      <c r="B3" t="s">
        <v>6435</v>
      </c>
    </row>
    <row r="4" spans="1:7" x14ac:dyDescent="0.3">
      <c r="A4" t="s">
        <v>6436</v>
      </c>
      <c r="B4" t="s">
        <v>6437</v>
      </c>
      <c r="G4" t="s">
        <v>6614</v>
      </c>
    </row>
    <row r="5" spans="1:7" x14ac:dyDescent="0.3">
      <c r="A5" t="s">
        <v>2475</v>
      </c>
      <c r="B5" t="s">
        <v>2476</v>
      </c>
      <c r="G5" t="s">
        <v>6615</v>
      </c>
    </row>
    <row r="6" spans="1:7" x14ac:dyDescent="0.3">
      <c r="A6" t="s">
        <v>4047</v>
      </c>
      <c r="B6" t="s">
        <v>6438</v>
      </c>
      <c r="G6" t="s">
        <v>6616</v>
      </c>
    </row>
    <row r="7" spans="1:7" x14ac:dyDescent="0.3">
      <c r="A7" t="s">
        <v>6439</v>
      </c>
      <c r="B7" t="s">
        <v>6155</v>
      </c>
      <c r="G7" t="s">
        <v>6617</v>
      </c>
    </row>
    <row r="8" spans="1:7" x14ac:dyDescent="0.3">
      <c r="A8" t="s">
        <v>6440</v>
      </c>
      <c r="B8" t="s">
        <v>6441</v>
      </c>
      <c r="G8" t="s">
        <v>6618</v>
      </c>
    </row>
    <row r="9" spans="1:7" x14ac:dyDescent="0.3">
      <c r="A9" t="s">
        <v>6442</v>
      </c>
      <c r="B9" t="s">
        <v>6443</v>
      </c>
      <c r="G9" t="s">
        <v>6619</v>
      </c>
    </row>
    <row r="10" spans="1:7" x14ac:dyDescent="0.3">
      <c r="A10" t="s">
        <v>6444</v>
      </c>
      <c r="B10" t="s">
        <v>6445</v>
      </c>
      <c r="G10" t="s">
        <v>6620</v>
      </c>
    </row>
    <row r="11" spans="1:7" x14ac:dyDescent="0.3">
      <c r="A11" t="s">
        <v>6446</v>
      </c>
      <c r="B11" t="s">
        <v>6447</v>
      </c>
      <c r="G11" t="s">
        <v>6621</v>
      </c>
    </row>
    <row r="12" spans="1:7" x14ac:dyDescent="0.3">
      <c r="A12" t="s">
        <v>6448</v>
      </c>
      <c r="B12" t="s">
        <v>6449</v>
      </c>
      <c r="G12" t="s">
        <v>6622</v>
      </c>
    </row>
    <row r="13" spans="1:7" x14ac:dyDescent="0.3">
      <c r="A13" t="s">
        <v>6450</v>
      </c>
      <c r="B13" t="s">
        <v>6451</v>
      </c>
      <c r="G13" t="s">
        <v>6623</v>
      </c>
    </row>
    <row r="14" spans="1:7" x14ac:dyDescent="0.3">
      <c r="A14" t="s">
        <v>2541</v>
      </c>
      <c r="B14" t="s">
        <v>2542</v>
      </c>
      <c r="G14" t="s">
        <v>6624</v>
      </c>
    </row>
    <row r="15" spans="1:7" x14ac:dyDescent="0.3">
      <c r="A15" t="s">
        <v>6452</v>
      </c>
      <c r="B15" t="s">
        <v>6453</v>
      </c>
      <c r="G15" t="s">
        <v>6625</v>
      </c>
    </row>
    <row r="16" spans="1:7" x14ac:dyDescent="0.3">
      <c r="A16" t="s">
        <v>6454</v>
      </c>
      <c r="B16" t="s">
        <v>6455</v>
      </c>
      <c r="G16" t="s">
        <v>6626</v>
      </c>
    </row>
    <row r="17" spans="1:7" x14ac:dyDescent="0.3">
      <c r="A17" t="s">
        <v>6456</v>
      </c>
      <c r="B17" t="s">
        <v>6457</v>
      </c>
      <c r="G17" t="s">
        <v>6627</v>
      </c>
    </row>
    <row r="18" spans="1:7" x14ac:dyDescent="0.3">
      <c r="A18" t="s">
        <v>2561</v>
      </c>
      <c r="B18" t="s">
        <v>6458</v>
      </c>
    </row>
    <row r="19" spans="1:7" x14ac:dyDescent="0.3">
      <c r="A19" t="s">
        <v>6459</v>
      </c>
      <c r="B19" t="s">
        <v>6460</v>
      </c>
      <c r="G19" t="s">
        <v>6628</v>
      </c>
    </row>
    <row r="20" spans="1:7" x14ac:dyDescent="0.3">
      <c r="A20" t="s">
        <v>6461</v>
      </c>
      <c r="B20" t="s">
        <v>6462</v>
      </c>
      <c r="G20" t="s">
        <v>6629</v>
      </c>
    </row>
    <row r="21" spans="1:7" x14ac:dyDescent="0.3">
      <c r="A21" t="s">
        <v>6463</v>
      </c>
      <c r="B21" t="s">
        <v>6464</v>
      </c>
      <c r="G21" t="s">
        <v>6630</v>
      </c>
    </row>
    <row r="22" spans="1:7" x14ac:dyDescent="0.3">
      <c r="A22" t="s">
        <v>6465</v>
      </c>
      <c r="B22" t="s">
        <v>6466</v>
      </c>
      <c r="G22" t="s">
        <v>6631</v>
      </c>
    </row>
    <row r="23" spans="1:7" x14ac:dyDescent="0.3">
      <c r="A23" t="s">
        <v>6467</v>
      </c>
      <c r="B23" t="s">
        <v>6468</v>
      </c>
      <c r="G23" t="s">
        <v>6632</v>
      </c>
    </row>
    <row r="24" spans="1:7" x14ac:dyDescent="0.3">
      <c r="A24" t="s">
        <v>6469</v>
      </c>
      <c r="B24" t="s">
        <v>6470</v>
      </c>
      <c r="G24" t="s">
        <v>6633</v>
      </c>
    </row>
    <row r="25" spans="1:7" x14ac:dyDescent="0.3">
      <c r="A25" t="s">
        <v>6471</v>
      </c>
      <c r="B25" t="s">
        <v>6472</v>
      </c>
      <c r="G25" t="s">
        <v>6634</v>
      </c>
    </row>
    <row r="26" spans="1:7" x14ac:dyDescent="0.3">
      <c r="A26" t="s">
        <v>6473</v>
      </c>
      <c r="B26" t="s">
        <v>6474</v>
      </c>
      <c r="G26" t="s">
        <v>6635</v>
      </c>
    </row>
    <row r="27" spans="1:7" x14ac:dyDescent="0.3">
      <c r="A27" t="s">
        <v>6475</v>
      </c>
      <c r="B27" t="s">
        <v>6476</v>
      </c>
      <c r="G27" t="s">
        <v>6636</v>
      </c>
    </row>
    <row r="28" spans="1:7" x14ac:dyDescent="0.3">
      <c r="A28" t="s">
        <v>6477</v>
      </c>
      <c r="B28" t="s">
        <v>6478</v>
      </c>
      <c r="G28" t="s">
        <v>6637</v>
      </c>
    </row>
    <row r="29" spans="1:7" x14ac:dyDescent="0.3">
      <c r="A29" t="s">
        <v>6479</v>
      </c>
      <c r="B29" t="s">
        <v>6480</v>
      </c>
      <c r="G29" t="s">
        <v>6638</v>
      </c>
    </row>
    <row r="30" spans="1:7" x14ac:dyDescent="0.3">
      <c r="A30" t="s">
        <v>6481</v>
      </c>
      <c r="B30" t="s">
        <v>6482</v>
      </c>
      <c r="G30" t="s">
        <v>6639</v>
      </c>
    </row>
    <row r="31" spans="1:7" x14ac:dyDescent="0.3">
      <c r="A31" t="s">
        <v>6483</v>
      </c>
      <c r="B31" t="s">
        <v>6484</v>
      </c>
      <c r="G31" t="s">
        <v>6640</v>
      </c>
    </row>
    <row r="32" spans="1:7" x14ac:dyDescent="0.3">
      <c r="A32" t="s">
        <v>6485</v>
      </c>
      <c r="B32" t="s">
        <v>6486</v>
      </c>
      <c r="G32" t="s">
        <v>6641</v>
      </c>
    </row>
    <row r="33" spans="1:7" x14ac:dyDescent="0.3">
      <c r="A33" t="s">
        <v>6487</v>
      </c>
      <c r="B33" t="s">
        <v>6488</v>
      </c>
      <c r="G33" t="s">
        <v>6642</v>
      </c>
    </row>
    <row r="34" spans="1:7" x14ac:dyDescent="0.3">
      <c r="A34" t="s">
        <v>6489</v>
      </c>
      <c r="B34" t="s">
        <v>6490</v>
      </c>
      <c r="G34" t="s">
        <v>6643</v>
      </c>
    </row>
    <row r="35" spans="1:7" x14ac:dyDescent="0.3">
      <c r="A35" t="s">
        <v>6491</v>
      </c>
      <c r="B35" t="s">
        <v>6492</v>
      </c>
      <c r="G35" t="s">
        <v>6644</v>
      </c>
    </row>
    <row r="36" spans="1:7" x14ac:dyDescent="0.3">
      <c r="A36" t="s">
        <v>2643</v>
      </c>
      <c r="B36" t="s">
        <v>6493</v>
      </c>
    </row>
    <row r="37" spans="1:7" x14ac:dyDescent="0.3">
      <c r="A37" t="s">
        <v>6494</v>
      </c>
      <c r="B37" t="s">
        <v>6495</v>
      </c>
      <c r="G37" t="s">
        <v>6645</v>
      </c>
    </row>
    <row r="38" spans="1:7" x14ac:dyDescent="0.3">
      <c r="A38" t="s">
        <v>6496</v>
      </c>
      <c r="B38" t="s">
        <v>6497</v>
      </c>
      <c r="G38" t="s">
        <v>6646</v>
      </c>
    </row>
    <row r="39" spans="1:7" x14ac:dyDescent="0.3">
      <c r="A39" t="s">
        <v>6498</v>
      </c>
      <c r="B39" t="s">
        <v>6499</v>
      </c>
      <c r="G39" t="s">
        <v>6647</v>
      </c>
    </row>
    <row r="40" spans="1:7" x14ac:dyDescent="0.3">
      <c r="A40" t="s">
        <v>6500</v>
      </c>
      <c r="B40" t="s">
        <v>6501</v>
      </c>
      <c r="G40" t="s">
        <v>6648</v>
      </c>
    </row>
    <row r="41" spans="1:7" x14ac:dyDescent="0.3">
      <c r="A41" t="s">
        <v>6502</v>
      </c>
      <c r="B41" t="s">
        <v>6503</v>
      </c>
      <c r="G41" t="s">
        <v>6649</v>
      </c>
    </row>
    <row r="42" spans="1:7" x14ac:dyDescent="0.3">
      <c r="A42" t="s">
        <v>6504</v>
      </c>
      <c r="B42" t="s">
        <v>6505</v>
      </c>
      <c r="G42" t="s">
        <v>6650</v>
      </c>
    </row>
    <row r="43" spans="1:7" x14ac:dyDescent="0.3">
      <c r="A43" t="s">
        <v>6506</v>
      </c>
      <c r="B43" t="s">
        <v>6507</v>
      </c>
      <c r="G43" t="s">
        <v>6651</v>
      </c>
    </row>
    <row r="44" spans="1:7" x14ac:dyDescent="0.3">
      <c r="A44" t="s">
        <v>2707</v>
      </c>
      <c r="B44" t="s">
        <v>6508</v>
      </c>
    </row>
    <row r="45" spans="1:7" x14ac:dyDescent="0.3">
      <c r="A45" t="s">
        <v>2709</v>
      </c>
      <c r="B45" t="s">
        <v>6509</v>
      </c>
    </row>
    <row r="46" spans="1:7" x14ac:dyDescent="0.3">
      <c r="A46" t="s">
        <v>6510</v>
      </c>
      <c r="B46" t="s">
        <v>6511</v>
      </c>
      <c r="G46" t="s">
        <v>6652</v>
      </c>
    </row>
    <row r="47" spans="1:7" x14ac:dyDescent="0.3">
      <c r="A47" t="s">
        <v>6512</v>
      </c>
      <c r="B47" t="s">
        <v>6513</v>
      </c>
      <c r="G47" t="s">
        <v>6653</v>
      </c>
    </row>
    <row r="48" spans="1:7" x14ac:dyDescent="0.3">
      <c r="A48" t="s">
        <v>6514</v>
      </c>
      <c r="B48" t="s">
        <v>6515</v>
      </c>
      <c r="G48" t="s">
        <v>6654</v>
      </c>
    </row>
    <row r="49" spans="1:7" x14ac:dyDescent="0.3">
      <c r="A49" t="s">
        <v>2737</v>
      </c>
      <c r="B49" t="s">
        <v>6516</v>
      </c>
    </row>
    <row r="50" spans="1:7" x14ac:dyDescent="0.3">
      <c r="A50" t="s">
        <v>6517</v>
      </c>
      <c r="B50" t="s">
        <v>6518</v>
      </c>
      <c r="G50" t="s">
        <v>6655</v>
      </c>
    </row>
    <row r="51" spans="1:7" x14ac:dyDescent="0.3">
      <c r="A51" t="s">
        <v>4324</v>
      </c>
      <c r="B51" t="s">
        <v>6519</v>
      </c>
      <c r="G51" t="s">
        <v>6656</v>
      </c>
    </row>
    <row r="52" spans="1:7" x14ac:dyDescent="0.3">
      <c r="A52" t="s">
        <v>6520</v>
      </c>
      <c r="B52" t="s">
        <v>6521</v>
      </c>
      <c r="G52" t="s">
        <v>6657</v>
      </c>
    </row>
    <row r="53" spans="1:7" x14ac:dyDescent="0.3">
      <c r="A53" t="s">
        <v>6522</v>
      </c>
      <c r="B53" t="s">
        <v>6523</v>
      </c>
      <c r="G53" t="s">
        <v>6658</v>
      </c>
    </row>
    <row r="54" spans="1:7" x14ac:dyDescent="0.3">
      <c r="A54" t="s">
        <v>4342</v>
      </c>
      <c r="B54" t="s">
        <v>6524</v>
      </c>
      <c r="G54" t="s">
        <v>6659</v>
      </c>
    </row>
    <row r="55" spans="1:7" x14ac:dyDescent="0.3">
      <c r="A55" t="s">
        <v>2751</v>
      </c>
      <c r="B55" t="s">
        <v>6525</v>
      </c>
    </row>
    <row r="56" spans="1:7" x14ac:dyDescent="0.3">
      <c r="A56" t="s">
        <v>6526</v>
      </c>
      <c r="B56" t="s">
        <v>6527</v>
      </c>
      <c r="G56" t="s">
        <v>6660</v>
      </c>
    </row>
    <row r="57" spans="1:7" x14ac:dyDescent="0.3">
      <c r="A57" t="s">
        <v>6528</v>
      </c>
      <c r="B57" t="s">
        <v>6529</v>
      </c>
      <c r="G57" t="s">
        <v>6661</v>
      </c>
    </row>
    <row r="58" spans="1:7" x14ac:dyDescent="0.3">
      <c r="A58" t="s">
        <v>6530</v>
      </c>
      <c r="B58" t="s">
        <v>6531</v>
      </c>
      <c r="G58" t="s">
        <v>6662</v>
      </c>
    </row>
    <row r="59" spans="1:7" x14ac:dyDescent="0.3">
      <c r="A59" t="s">
        <v>6532</v>
      </c>
    </row>
    <row r="60" spans="1:7" x14ac:dyDescent="0.3">
      <c r="A60" t="s">
        <v>6533</v>
      </c>
      <c r="B60" t="s">
        <v>6534</v>
      </c>
      <c r="G60" t="s">
        <v>6663</v>
      </c>
    </row>
    <row r="61" spans="1:7" x14ac:dyDescent="0.3">
      <c r="A61" t="s">
        <v>6535</v>
      </c>
      <c r="B61" t="s">
        <v>6536</v>
      </c>
      <c r="G61" t="s">
        <v>6664</v>
      </c>
    </row>
    <row r="62" spans="1:7" x14ac:dyDescent="0.3">
      <c r="A62" t="s">
        <v>2779</v>
      </c>
      <c r="B62" t="s">
        <v>6537</v>
      </c>
    </row>
    <row r="63" spans="1:7" x14ac:dyDescent="0.3">
      <c r="A63" t="s">
        <v>4089</v>
      </c>
      <c r="B63" t="s">
        <v>6538</v>
      </c>
      <c r="G63" t="s">
        <v>6665</v>
      </c>
    </row>
    <row r="64" spans="1:7" x14ac:dyDescent="0.3">
      <c r="A64" t="s">
        <v>6539</v>
      </c>
      <c r="B64" t="s">
        <v>6540</v>
      </c>
      <c r="G64" t="s">
        <v>6666</v>
      </c>
    </row>
    <row r="65" spans="1:7" x14ac:dyDescent="0.3">
      <c r="A65" t="s">
        <v>6541</v>
      </c>
      <c r="B65" t="s">
        <v>6542</v>
      </c>
      <c r="G65" t="s">
        <v>6667</v>
      </c>
    </row>
    <row r="66" spans="1:7" x14ac:dyDescent="0.3">
      <c r="A66" t="s">
        <v>6543</v>
      </c>
      <c r="B66" t="s">
        <v>6544</v>
      </c>
      <c r="G66" t="s">
        <v>6668</v>
      </c>
    </row>
    <row r="67" spans="1:7" x14ac:dyDescent="0.3">
      <c r="A67" t="s">
        <v>6545</v>
      </c>
      <c r="B67" t="s">
        <v>6546</v>
      </c>
      <c r="G67" t="s">
        <v>6669</v>
      </c>
    </row>
    <row r="68" spans="1:7" x14ac:dyDescent="0.3">
      <c r="A68" t="s">
        <v>6547</v>
      </c>
      <c r="B68" t="s">
        <v>6548</v>
      </c>
      <c r="G68" t="s">
        <v>6670</v>
      </c>
    </row>
    <row r="69" spans="1:7" x14ac:dyDescent="0.3">
      <c r="A69" t="s">
        <v>6549</v>
      </c>
      <c r="B69" t="s">
        <v>6550</v>
      </c>
      <c r="G69" t="s">
        <v>6671</v>
      </c>
    </row>
    <row r="70" spans="1:7" x14ac:dyDescent="0.3">
      <c r="A70" t="s">
        <v>6551</v>
      </c>
      <c r="B70" t="s">
        <v>6552</v>
      </c>
      <c r="G70" t="s">
        <v>6672</v>
      </c>
    </row>
    <row r="71" spans="1:7" x14ac:dyDescent="0.3">
      <c r="A71" t="s">
        <v>2843</v>
      </c>
      <c r="B71" t="s">
        <v>6553</v>
      </c>
    </row>
    <row r="72" spans="1:7" x14ac:dyDescent="0.3">
      <c r="A72" t="s">
        <v>6554</v>
      </c>
      <c r="B72" t="s">
        <v>6555</v>
      </c>
      <c r="G72" t="s">
        <v>6673</v>
      </c>
    </row>
    <row r="73" spans="1:7" x14ac:dyDescent="0.3">
      <c r="A73" t="s">
        <v>6556</v>
      </c>
      <c r="B73" t="s">
        <v>6557</v>
      </c>
      <c r="G73" t="s">
        <v>6674</v>
      </c>
    </row>
    <row r="74" spans="1:7" x14ac:dyDescent="0.3">
      <c r="A74" t="s">
        <v>6558</v>
      </c>
      <c r="B74" t="s">
        <v>6559</v>
      </c>
      <c r="G74" t="s">
        <v>6675</v>
      </c>
    </row>
    <row r="75" spans="1:7" x14ac:dyDescent="0.3">
      <c r="A75" t="s">
        <v>6560</v>
      </c>
      <c r="B75" t="s">
        <v>6561</v>
      </c>
      <c r="G75" t="s">
        <v>6676</v>
      </c>
    </row>
    <row r="76" spans="1:7" x14ac:dyDescent="0.3">
      <c r="A76" t="s">
        <v>6562</v>
      </c>
      <c r="B76" t="s">
        <v>6563</v>
      </c>
      <c r="G76" t="s">
        <v>6677</v>
      </c>
    </row>
    <row r="77" spans="1:7" x14ac:dyDescent="0.3">
      <c r="A77" t="s">
        <v>6564</v>
      </c>
      <c r="B77" t="s">
        <v>6565</v>
      </c>
      <c r="G77" t="s">
        <v>6678</v>
      </c>
    </row>
    <row r="78" spans="1:7" x14ac:dyDescent="0.3">
      <c r="A78" t="s">
        <v>6566</v>
      </c>
      <c r="B78" t="s">
        <v>6567</v>
      </c>
      <c r="G78" t="s">
        <v>6679</v>
      </c>
    </row>
    <row r="79" spans="1:7" x14ac:dyDescent="0.3">
      <c r="A79" t="s">
        <v>6568</v>
      </c>
      <c r="B79" t="s">
        <v>6569</v>
      </c>
      <c r="G79" t="s">
        <v>6680</v>
      </c>
    </row>
    <row r="80" spans="1:7" x14ac:dyDescent="0.3">
      <c r="A80" t="s">
        <v>6570</v>
      </c>
      <c r="B80" t="s">
        <v>6571</v>
      </c>
      <c r="G80" t="s">
        <v>6681</v>
      </c>
    </row>
    <row r="81" spans="1:7" x14ac:dyDescent="0.3">
      <c r="A81" t="s">
        <v>6572</v>
      </c>
      <c r="B81" t="s">
        <v>6573</v>
      </c>
      <c r="G81" t="s">
        <v>6682</v>
      </c>
    </row>
    <row r="82" spans="1:7" x14ac:dyDescent="0.3">
      <c r="A82" t="s">
        <v>6574</v>
      </c>
      <c r="B82" t="s">
        <v>6575</v>
      </c>
      <c r="G82" t="s">
        <v>6683</v>
      </c>
    </row>
    <row r="83" spans="1:7" x14ac:dyDescent="0.3">
      <c r="A83" t="s">
        <v>4515</v>
      </c>
      <c r="B83" t="s">
        <v>4516</v>
      </c>
      <c r="G83" t="s">
        <v>6684</v>
      </c>
    </row>
    <row r="84" spans="1:7" x14ac:dyDescent="0.3">
      <c r="A84" t="s">
        <v>6576</v>
      </c>
      <c r="B84" t="s">
        <v>6577</v>
      </c>
      <c r="G84" t="s">
        <v>6685</v>
      </c>
    </row>
    <row r="85" spans="1:7" x14ac:dyDescent="0.3">
      <c r="A85" t="s">
        <v>6578</v>
      </c>
      <c r="B85" t="s">
        <v>6579</v>
      </c>
      <c r="G85" t="s">
        <v>6686</v>
      </c>
    </row>
    <row r="86" spans="1:7" x14ac:dyDescent="0.3">
      <c r="A86" t="s">
        <v>6580</v>
      </c>
      <c r="B86" t="s">
        <v>6581</v>
      </c>
      <c r="G86" t="s">
        <v>6687</v>
      </c>
    </row>
    <row r="87" spans="1:7" x14ac:dyDescent="0.3">
      <c r="A87" t="s">
        <v>6582</v>
      </c>
      <c r="B87" t="s">
        <v>6583</v>
      </c>
      <c r="G87" t="s">
        <v>6688</v>
      </c>
    </row>
    <row r="88" spans="1:7" x14ac:dyDescent="0.3">
      <c r="A88" t="s">
        <v>6584</v>
      </c>
      <c r="B88" t="s">
        <v>6585</v>
      </c>
      <c r="G88" t="s">
        <v>6689</v>
      </c>
    </row>
    <row r="89" spans="1:7" x14ac:dyDescent="0.3">
      <c r="A89" t="s">
        <v>6586</v>
      </c>
      <c r="B89" t="s">
        <v>2898</v>
      </c>
      <c r="G89" t="s">
        <v>6690</v>
      </c>
    </row>
    <row r="90" spans="1:7" x14ac:dyDescent="0.3">
      <c r="A90" t="s">
        <v>6587</v>
      </c>
      <c r="B90" t="s">
        <v>6588</v>
      </c>
      <c r="G90" t="s">
        <v>6691</v>
      </c>
    </row>
    <row r="91" spans="1:7" x14ac:dyDescent="0.3">
      <c r="A91" t="s">
        <v>6589</v>
      </c>
      <c r="B91" t="s">
        <v>6590</v>
      </c>
      <c r="G91" t="s">
        <v>6692</v>
      </c>
    </row>
    <row r="92" spans="1:7" x14ac:dyDescent="0.3">
      <c r="A92" t="s">
        <v>2909</v>
      </c>
      <c r="B92" t="s">
        <v>6591</v>
      </c>
    </row>
    <row r="93" spans="1:7" x14ac:dyDescent="0.3">
      <c r="A93" t="s">
        <v>6592</v>
      </c>
      <c r="B93" t="s">
        <v>6593</v>
      </c>
      <c r="G93" t="s">
        <v>6693</v>
      </c>
    </row>
    <row r="94" spans="1:7" x14ac:dyDescent="0.3">
      <c r="A94" t="s">
        <v>6594</v>
      </c>
      <c r="B94" t="s">
        <v>6595</v>
      </c>
      <c r="G94" t="s">
        <v>6694</v>
      </c>
    </row>
    <row r="95" spans="1:7" x14ac:dyDescent="0.3">
      <c r="A95" t="s">
        <v>6596</v>
      </c>
      <c r="B95" t="s">
        <v>6597</v>
      </c>
      <c r="G95" t="s">
        <v>6695</v>
      </c>
    </row>
    <row r="96" spans="1:7" x14ac:dyDescent="0.3">
      <c r="A96" t="s">
        <v>6598</v>
      </c>
      <c r="B96" t="s">
        <v>6599</v>
      </c>
      <c r="G96" t="s">
        <v>6696</v>
      </c>
    </row>
    <row r="97" spans="1:7" x14ac:dyDescent="0.3">
      <c r="A97" t="s">
        <v>6600</v>
      </c>
      <c r="B97" t="s">
        <v>6601</v>
      </c>
      <c r="G97" t="s">
        <v>6697</v>
      </c>
    </row>
    <row r="98" spans="1:7" x14ac:dyDescent="0.3">
      <c r="A98" t="s">
        <v>6602</v>
      </c>
      <c r="B98" t="s">
        <v>6603</v>
      </c>
      <c r="G98" t="s">
        <v>6698</v>
      </c>
    </row>
    <row r="99" spans="1:7" x14ac:dyDescent="0.3">
      <c r="A99" t="s">
        <v>6604</v>
      </c>
      <c r="B99" t="s">
        <v>6605</v>
      </c>
      <c r="G99" t="s">
        <v>6699</v>
      </c>
    </row>
    <row r="100" spans="1:7" x14ac:dyDescent="0.3">
      <c r="A100" t="s">
        <v>6606</v>
      </c>
      <c r="B100" t="s">
        <v>6607</v>
      </c>
      <c r="G100" t="s">
        <v>6700</v>
      </c>
    </row>
    <row r="101" spans="1:7" x14ac:dyDescent="0.3">
      <c r="A101" t="s">
        <v>2945</v>
      </c>
      <c r="B101" t="s">
        <v>6608</v>
      </c>
    </row>
    <row r="102" spans="1:7" x14ac:dyDescent="0.3">
      <c r="A102" t="s">
        <v>6609</v>
      </c>
      <c r="B102" t="s">
        <v>6610</v>
      </c>
      <c r="G102" t="s">
        <v>6701</v>
      </c>
    </row>
    <row r="103" spans="1:7" x14ac:dyDescent="0.3">
      <c r="A103" t="s">
        <v>2955</v>
      </c>
      <c r="B103" t="s">
        <v>2956</v>
      </c>
      <c r="G103" t="s">
        <v>6702</v>
      </c>
    </row>
    <row r="104" spans="1:7" x14ac:dyDescent="0.3">
      <c r="A104" t="s">
        <v>6224</v>
      </c>
      <c r="B104" t="s">
        <v>6611</v>
      </c>
      <c r="G104" t="s">
        <v>6703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ABA4B-0B09-4119-9716-67D4B3D2A09A}">
  <sheetPr codeName="Sheet6"/>
  <dimension ref="A1:V122"/>
  <sheetViews>
    <sheetView workbookViewId="0">
      <selection activeCell="V22" sqref="V22:V26"/>
    </sheetView>
  </sheetViews>
  <sheetFormatPr defaultRowHeight="14.4" x14ac:dyDescent="0.3"/>
  <cols>
    <col min="1" max="1" width="5.109375" bestFit="1" customWidth="1"/>
    <col min="2" max="2" width="13.6640625" bestFit="1" customWidth="1"/>
    <col min="3" max="3" width="16.88671875" bestFit="1" customWidth="1"/>
    <col min="4" max="4" width="43.5546875" bestFit="1" customWidth="1"/>
    <col min="5" max="5" width="38" bestFit="1" customWidth="1"/>
    <col min="6" max="6" width="6.44140625" bestFit="1" customWidth="1"/>
    <col min="7" max="7" width="16.6640625" bestFit="1" customWidth="1"/>
    <col min="8" max="8" width="11.88671875" bestFit="1" customWidth="1"/>
    <col min="9" max="9" width="12.5546875" bestFit="1" customWidth="1"/>
    <col min="10" max="10" width="11.33203125" bestFit="1" customWidth="1"/>
    <col min="15" max="15" width="2.44140625" bestFit="1" customWidth="1"/>
    <col min="16" max="16" width="3" bestFit="1" customWidth="1"/>
    <col min="17" max="17" width="5" bestFit="1" customWidth="1"/>
    <col min="18" max="18" width="9.88671875" bestFit="1" customWidth="1"/>
  </cols>
  <sheetData>
    <row r="1" spans="1:18" ht="15" thickBot="1" x14ac:dyDescent="0.35">
      <c r="A1" s="7">
        <v>1</v>
      </c>
      <c r="B1" s="7" t="s">
        <v>608</v>
      </c>
      <c r="C1" s="7" t="s">
        <v>609</v>
      </c>
      <c r="D1" s="7" t="s">
        <v>610</v>
      </c>
      <c r="E1" s="7" t="s">
        <v>611</v>
      </c>
      <c r="F1" s="7">
        <v>202</v>
      </c>
      <c r="G1">
        <v>160</v>
      </c>
      <c r="H1">
        <v>60</v>
      </c>
      <c r="J1" t="str">
        <f t="shared" ref="J1:J16" si="0">F1&amp;"-"&amp;G1&amp;"."&amp;H1</f>
        <v>202-160.60</v>
      </c>
    </row>
    <row r="2" spans="1:18" ht="15" thickBot="1" x14ac:dyDescent="0.35">
      <c r="A2" s="7">
        <v>2</v>
      </c>
      <c r="B2" s="7" t="s">
        <v>612</v>
      </c>
      <c r="C2" s="7" t="s">
        <v>613</v>
      </c>
      <c r="D2" s="7" t="s">
        <v>614</v>
      </c>
      <c r="E2" s="7" t="s">
        <v>615</v>
      </c>
      <c r="F2" s="7">
        <v>175</v>
      </c>
      <c r="G2">
        <v>241</v>
      </c>
      <c r="H2">
        <v>194</v>
      </c>
      <c r="J2" t="str">
        <f t="shared" si="0"/>
        <v>175-241.194</v>
      </c>
      <c r="O2" t="str">
        <f ca="1">CHAR(RANDBETWEEN(65,90))</f>
        <v>Z</v>
      </c>
      <c r="P2">
        <f ca="1">RANDBETWEEN(10,99)</f>
        <v>67</v>
      </c>
      <c r="Q2">
        <f ca="1">RANDBETWEEN(2000, 2020)</f>
        <v>2012</v>
      </c>
      <c r="R2" t="str">
        <f ca="1">Q2&amp;"-"&amp;P2&amp;"-"&amp;O2</f>
        <v>2012-67-Z</v>
      </c>
    </row>
    <row r="3" spans="1:18" ht="15" thickBot="1" x14ac:dyDescent="0.35">
      <c r="A3" s="7">
        <v>3</v>
      </c>
      <c r="B3" s="7" t="s">
        <v>616</v>
      </c>
      <c r="C3" s="7" t="s">
        <v>617</v>
      </c>
      <c r="D3" s="7" t="s">
        <v>618</v>
      </c>
      <c r="E3" s="7" t="s">
        <v>619</v>
      </c>
      <c r="F3" s="7">
        <v>61</v>
      </c>
      <c r="G3">
        <v>159</v>
      </c>
      <c r="H3">
        <v>208</v>
      </c>
      <c r="J3" t="str">
        <f t="shared" si="0"/>
        <v>61-159.208</v>
      </c>
      <c r="O3" t="str">
        <f t="shared" ref="O3:O17" ca="1" si="1">CHAR(RANDBETWEEN(65,90))</f>
        <v>A</v>
      </c>
      <c r="P3">
        <f t="shared" ref="P3:P17" ca="1" si="2">RANDBETWEEN(10,99)</f>
        <v>23</v>
      </c>
      <c r="Q3">
        <f t="shared" ref="Q3:Q17" ca="1" si="3">RANDBETWEEN(2000, 2020)</f>
        <v>2003</v>
      </c>
      <c r="R3" t="str">
        <f t="shared" ref="R3:R17" ca="1" si="4">Q3&amp;"-"&amp;P3&amp;"-"&amp;O3</f>
        <v>2003-23-A</v>
      </c>
    </row>
    <row r="4" spans="1:18" ht="15" thickBot="1" x14ac:dyDescent="0.35">
      <c r="A4" s="7">
        <v>4</v>
      </c>
      <c r="B4" s="7" t="s">
        <v>620</v>
      </c>
      <c r="C4" s="7" t="s">
        <v>621</v>
      </c>
      <c r="D4" s="7" t="s">
        <v>622</v>
      </c>
      <c r="E4" s="7" t="s">
        <v>623</v>
      </c>
      <c r="F4" s="7">
        <v>40</v>
      </c>
      <c r="G4">
        <v>216</v>
      </c>
      <c r="H4">
        <v>12</v>
      </c>
      <c r="J4" t="str">
        <f t="shared" si="0"/>
        <v>40-216.12</v>
      </c>
      <c r="O4" t="str">
        <f t="shared" ca="1" si="1"/>
        <v>A</v>
      </c>
      <c r="P4">
        <f t="shared" ca="1" si="2"/>
        <v>83</v>
      </c>
      <c r="Q4">
        <f t="shared" ca="1" si="3"/>
        <v>2007</v>
      </c>
      <c r="R4" t="str">
        <f t="shared" ca="1" si="4"/>
        <v>2007-83-A</v>
      </c>
    </row>
    <row r="5" spans="1:18" ht="15" thickBot="1" x14ac:dyDescent="0.35">
      <c r="A5" s="7">
        <v>5</v>
      </c>
      <c r="B5" s="7" t="s">
        <v>624</v>
      </c>
      <c r="C5" s="7" t="s">
        <v>625</v>
      </c>
      <c r="D5" s="7" t="s">
        <v>626</v>
      </c>
      <c r="E5" s="7" t="s">
        <v>627</v>
      </c>
      <c r="F5" s="7">
        <v>241</v>
      </c>
      <c r="G5">
        <v>223</v>
      </c>
      <c r="H5">
        <v>251</v>
      </c>
      <c r="J5" t="str">
        <f t="shared" si="0"/>
        <v>241-223.251</v>
      </c>
      <c r="O5" t="str">
        <f t="shared" ca="1" si="1"/>
        <v>Y</v>
      </c>
      <c r="P5">
        <f t="shared" ca="1" si="2"/>
        <v>46</v>
      </c>
      <c r="Q5">
        <f t="shared" ca="1" si="3"/>
        <v>2010</v>
      </c>
      <c r="R5" t="str">
        <f t="shared" ca="1" si="4"/>
        <v>2010-46-Y</v>
      </c>
    </row>
    <row r="6" spans="1:18" ht="15" thickBot="1" x14ac:dyDescent="0.35">
      <c r="A6" s="7">
        <v>6</v>
      </c>
      <c r="B6" s="7" t="s">
        <v>628</v>
      </c>
      <c r="C6" s="7" t="s">
        <v>629</v>
      </c>
      <c r="D6" s="7" t="s">
        <v>630</v>
      </c>
      <c r="E6" s="7" t="s">
        <v>615</v>
      </c>
      <c r="F6" s="7">
        <v>52</v>
      </c>
      <c r="G6">
        <v>171</v>
      </c>
      <c r="H6">
        <v>135</v>
      </c>
      <c r="J6" t="str">
        <f t="shared" si="0"/>
        <v>52-171.135</v>
      </c>
      <c r="O6" t="str">
        <f t="shared" ca="1" si="1"/>
        <v>B</v>
      </c>
      <c r="P6">
        <f t="shared" ca="1" si="2"/>
        <v>13</v>
      </c>
      <c r="Q6">
        <f t="shared" ca="1" si="3"/>
        <v>2011</v>
      </c>
      <c r="R6" t="str">
        <f t="shared" ca="1" si="4"/>
        <v>2011-13-B</v>
      </c>
    </row>
    <row r="7" spans="1:18" ht="15" thickBot="1" x14ac:dyDescent="0.35">
      <c r="A7" s="7">
        <v>7</v>
      </c>
      <c r="B7" s="7" t="s">
        <v>631</v>
      </c>
      <c r="C7" s="7" t="s">
        <v>632</v>
      </c>
      <c r="D7" s="7" t="s">
        <v>633</v>
      </c>
      <c r="E7" s="7" t="s">
        <v>627</v>
      </c>
      <c r="F7" s="7">
        <v>77</v>
      </c>
      <c r="G7">
        <v>64</v>
      </c>
      <c r="H7">
        <v>182</v>
      </c>
      <c r="J7" t="str">
        <f t="shared" si="0"/>
        <v>77-64.182</v>
      </c>
      <c r="O7" t="str">
        <f t="shared" ca="1" si="1"/>
        <v>S</v>
      </c>
      <c r="P7">
        <f t="shared" ca="1" si="2"/>
        <v>81</v>
      </c>
      <c r="Q7">
        <f t="shared" ca="1" si="3"/>
        <v>2013</v>
      </c>
      <c r="R7" t="str">
        <f t="shared" ca="1" si="4"/>
        <v>2013-81-S</v>
      </c>
    </row>
    <row r="8" spans="1:18" ht="15" thickBot="1" x14ac:dyDescent="0.35">
      <c r="A8" s="7">
        <v>8</v>
      </c>
      <c r="B8" s="7" t="s">
        <v>634</v>
      </c>
      <c r="C8" s="7" t="s">
        <v>635</v>
      </c>
      <c r="D8" s="7" t="s">
        <v>636</v>
      </c>
      <c r="E8" s="7" t="s">
        <v>611</v>
      </c>
      <c r="F8" s="7">
        <v>100</v>
      </c>
      <c r="G8">
        <v>247</v>
      </c>
      <c r="H8">
        <v>154</v>
      </c>
      <c r="J8" t="str">
        <f t="shared" si="0"/>
        <v>100-247.154</v>
      </c>
      <c r="O8" t="str">
        <f t="shared" ca="1" si="1"/>
        <v>N</v>
      </c>
      <c r="P8">
        <f t="shared" ca="1" si="2"/>
        <v>40</v>
      </c>
      <c r="Q8">
        <f t="shared" ca="1" si="3"/>
        <v>2010</v>
      </c>
      <c r="R8" t="str">
        <f t="shared" ca="1" si="4"/>
        <v>2010-40-N</v>
      </c>
    </row>
    <row r="9" spans="1:18" ht="15" thickBot="1" x14ac:dyDescent="0.35">
      <c r="A9" s="7">
        <v>9</v>
      </c>
      <c r="B9" s="7" t="s">
        <v>637</v>
      </c>
      <c r="C9" s="7" t="s">
        <v>638</v>
      </c>
      <c r="D9" s="7" t="s">
        <v>639</v>
      </c>
      <c r="E9" s="7" t="s">
        <v>640</v>
      </c>
      <c r="F9" s="7">
        <v>5</v>
      </c>
      <c r="G9">
        <v>195</v>
      </c>
      <c r="H9">
        <v>112</v>
      </c>
      <c r="J9" t="str">
        <f t="shared" si="0"/>
        <v>5-195.112</v>
      </c>
      <c r="O9" t="str">
        <f t="shared" ca="1" si="1"/>
        <v>S</v>
      </c>
      <c r="P9">
        <f t="shared" ca="1" si="2"/>
        <v>22</v>
      </c>
      <c r="Q9">
        <f t="shared" ca="1" si="3"/>
        <v>2009</v>
      </c>
      <c r="R9" t="str">
        <f t="shared" ca="1" si="4"/>
        <v>2009-22-S</v>
      </c>
    </row>
    <row r="10" spans="1:18" ht="15" thickBot="1" x14ac:dyDescent="0.35">
      <c r="A10" s="7">
        <v>10</v>
      </c>
      <c r="B10" s="7" t="s">
        <v>641</v>
      </c>
      <c r="C10" s="7" t="s">
        <v>642</v>
      </c>
      <c r="D10" s="7" t="s">
        <v>643</v>
      </c>
      <c r="E10" s="7" t="s">
        <v>644</v>
      </c>
      <c r="F10" s="7">
        <v>75</v>
      </c>
      <c r="G10">
        <v>206</v>
      </c>
      <c r="H10">
        <v>168</v>
      </c>
      <c r="J10" t="str">
        <f t="shared" si="0"/>
        <v>75-206.168</v>
      </c>
      <c r="O10" t="str">
        <f t="shared" ca="1" si="1"/>
        <v>F</v>
      </c>
      <c r="P10">
        <f t="shared" ca="1" si="2"/>
        <v>45</v>
      </c>
      <c r="Q10">
        <f t="shared" ca="1" si="3"/>
        <v>2006</v>
      </c>
      <c r="R10" t="str">
        <f t="shared" ca="1" si="4"/>
        <v>2006-45-F</v>
      </c>
    </row>
    <row r="11" spans="1:18" ht="15" thickBot="1" x14ac:dyDescent="0.35">
      <c r="A11" s="7">
        <v>11</v>
      </c>
      <c r="B11" s="7" t="s">
        <v>645</v>
      </c>
      <c r="C11" s="7" t="s">
        <v>646</v>
      </c>
      <c r="D11" s="7" t="s">
        <v>647</v>
      </c>
      <c r="E11" s="7" t="s">
        <v>619</v>
      </c>
      <c r="F11" s="7">
        <v>15</v>
      </c>
      <c r="G11">
        <v>140</v>
      </c>
      <c r="H11">
        <v>127</v>
      </c>
      <c r="J11" t="str">
        <f t="shared" si="0"/>
        <v>15-140.127</v>
      </c>
      <c r="O11" t="str">
        <f t="shared" ca="1" si="1"/>
        <v>E</v>
      </c>
      <c r="P11">
        <f t="shared" ca="1" si="2"/>
        <v>15</v>
      </c>
      <c r="Q11">
        <f t="shared" ca="1" si="3"/>
        <v>2010</v>
      </c>
      <c r="R11" t="str">
        <f t="shared" ca="1" si="4"/>
        <v>2010-15-E</v>
      </c>
    </row>
    <row r="12" spans="1:18" ht="15" thickBot="1" x14ac:dyDescent="0.35">
      <c r="A12" s="7">
        <v>12</v>
      </c>
      <c r="B12" s="7" t="s">
        <v>648</v>
      </c>
      <c r="C12" s="7" t="s">
        <v>649</v>
      </c>
      <c r="D12" s="7" t="s">
        <v>650</v>
      </c>
      <c r="E12" s="7" t="s">
        <v>640</v>
      </c>
      <c r="F12" s="7">
        <v>133</v>
      </c>
      <c r="G12">
        <v>125</v>
      </c>
      <c r="H12">
        <v>65</v>
      </c>
      <c r="J12" t="str">
        <f t="shared" si="0"/>
        <v>133-125.65</v>
      </c>
      <c r="O12" t="str">
        <f t="shared" ca="1" si="1"/>
        <v>Y</v>
      </c>
      <c r="P12">
        <f t="shared" ca="1" si="2"/>
        <v>69</v>
      </c>
      <c r="Q12">
        <f t="shared" ca="1" si="3"/>
        <v>2018</v>
      </c>
      <c r="R12" t="str">
        <f t="shared" ca="1" si="4"/>
        <v>2018-69-Y</v>
      </c>
    </row>
    <row r="13" spans="1:18" ht="15" thickBot="1" x14ac:dyDescent="0.35">
      <c r="A13" s="7">
        <v>13</v>
      </c>
      <c r="B13" s="7" t="s">
        <v>651</v>
      </c>
      <c r="C13" s="7" t="s">
        <v>652</v>
      </c>
      <c r="D13" s="7" t="s">
        <v>653</v>
      </c>
      <c r="E13" s="7" t="s">
        <v>654</v>
      </c>
      <c r="F13" s="7">
        <v>140</v>
      </c>
      <c r="G13">
        <v>9</v>
      </c>
      <c r="H13">
        <v>61</v>
      </c>
      <c r="J13" t="str">
        <f t="shared" si="0"/>
        <v>140-9.61</v>
      </c>
      <c r="O13" t="str">
        <f t="shared" ca="1" si="1"/>
        <v>J</v>
      </c>
      <c r="P13">
        <f t="shared" ca="1" si="2"/>
        <v>89</v>
      </c>
      <c r="Q13">
        <f t="shared" ca="1" si="3"/>
        <v>2013</v>
      </c>
      <c r="R13" t="str">
        <f t="shared" ca="1" si="4"/>
        <v>2013-89-J</v>
      </c>
    </row>
    <row r="14" spans="1:18" ht="15" thickBot="1" x14ac:dyDescent="0.35">
      <c r="A14" s="7">
        <v>14</v>
      </c>
      <c r="B14" s="7" t="s">
        <v>655</v>
      </c>
      <c r="C14" s="7" t="s">
        <v>656</v>
      </c>
      <c r="D14" s="7" t="s">
        <v>657</v>
      </c>
      <c r="E14" s="7" t="s">
        <v>654</v>
      </c>
      <c r="F14" s="7">
        <v>96</v>
      </c>
      <c r="G14">
        <v>81</v>
      </c>
      <c r="H14">
        <v>106</v>
      </c>
      <c r="J14" t="str">
        <f t="shared" si="0"/>
        <v>96-81.106</v>
      </c>
      <c r="O14" t="str">
        <f t="shared" ca="1" si="1"/>
        <v>H</v>
      </c>
      <c r="P14">
        <f t="shared" ca="1" si="2"/>
        <v>55</v>
      </c>
      <c r="Q14">
        <f t="shared" ca="1" si="3"/>
        <v>2011</v>
      </c>
      <c r="R14" t="str">
        <f t="shared" ca="1" si="4"/>
        <v>2011-55-H</v>
      </c>
    </row>
    <row r="15" spans="1:18" ht="15" thickBot="1" x14ac:dyDescent="0.35">
      <c r="A15" s="7">
        <v>15</v>
      </c>
      <c r="B15" s="7" t="s">
        <v>658</v>
      </c>
      <c r="C15" s="7" t="s">
        <v>659</v>
      </c>
      <c r="D15" s="7" t="s">
        <v>660</v>
      </c>
      <c r="E15" s="7" t="s">
        <v>611</v>
      </c>
      <c r="F15" s="7">
        <v>214</v>
      </c>
      <c r="G15">
        <v>23</v>
      </c>
      <c r="H15">
        <v>146</v>
      </c>
      <c r="J15" t="str">
        <f t="shared" si="0"/>
        <v>214-23.146</v>
      </c>
      <c r="O15" t="str">
        <f t="shared" ca="1" si="1"/>
        <v>W</v>
      </c>
      <c r="P15">
        <f t="shared" ca="1" si="2"/>
        <v>80</v>
      </c>
      <c r="Q15">
        <f t="shared" ca="1" si="3"/>
        <v>2009</v>
      </c>
      <c r="R15" t="str">
        <f t="shared" ca="1" si="4"/>
        <v>2009-80-W</v>
      </c>
    </row>
    <row r="16" spans="1:18" ht="15" thickBot="1" x14ac:dyDescent="0.35">
      <c r="A16" s="7">
        <v>16</v>
      </c>
      <c r="B16" s="7" t="s">
        <v>661</v>
      </c>
      <c r="C16" s="7" t="s">
        <v>662</v>
      </c>
      <c r="D16" s="7" t="s">
        <v>663</v>
      </c>
      <c r="E16" s="7" t="s">
        <v>611</v>
      </c>
      <c r="F16" s="7">
        <v>59</v>
      </c>
      <c r="G16">
        <v>12</v>
      </c>
      <c r="H16">
        <v>224</v>
      </c>
      <c r="J16" t="str">
        <f t="shared" si="0"/>
        <v>59-12.224</v>
      </c>
      <c r="O16" t="str">
        <f t="shared" ca="1" si="1"/>
        <v>I</v>
      </c>
      <c r="P16">
        <f t="shared" ca="1" si="2"/>
        <v>63</v>
      </c>
      <c r="Q16">
        <f t="shared" ca="1" si="3"/>
        <v>2014</v>
      </c>
      <c r="R16" t="str">
        <f t="shared" ca="1" si="4"/>
        <v>2014-63-I</v>
      </c>
    </row>
    <row r="17" spans="1:22" x14ac:dyDescent="0.3">
      <c r="O17" t="str">
        <f t="shared" ca="1" si="1"/>
        <v>L</v>
      </c>
      <c r="P17">
        <f t="shared" ca="1" si="2"/>
        <v>30</v>
      </c>
      <c r="Q17">
        <f t="shared" ca="1" si="3"/>
        <v>2014</v>
      </c>
      <c r="R17" t="str">
        <f t="shared" ca="1" si="4"/>
        <v>2014-30-L</v>
      </c>
    </row>
    <row r="22" spans="1:22" x14ac:dyDescent="0.3">
      <c r="M22">
        <v>2316</v>
      </c>
      <c r="N22" t="s">
        <v>1343</v>
      </c>
      <c r="O22" t="s">
        <v>1344</v>
      </c>
      <c r="P22" t="s">
        <v>1345</v>
      </c>
      <c r="Q22" t="s">
        <v>1346</v>
      </c>
      <c r="R22" t="s">
        <v>1347</v>
      </c>
      <c r="S22" t="s">
        <v>1348</v>
      </c>
      <c r="T22" t="s">
        <v>1349</v>
      </c>
      <c r="V22" t="str">
        <f>RIGHT(C23,6)</f>
        <v>4113-4</v>
      </c>
    </row>
    <row r="23" spans="1:22" x14ac:dyDescent="0.3">
      <c r="A23">
        <v>1</v>
      </c>
      <c r="B23" t="s">
        <v>685</v>
      </c>
      <c r="C23" t="s">
        <v>686</v>
      </c>
      <c r="D23" t="s">
        <v>687</v>
      </c>
      <c r="E23" t="s">
        <v>688</v>
      </c>
      <c r="F23" t="s">
        <v>689</v>
      </c>
      <c r="G23" t="s">
        <v>690</v>
      </c>
      <c r="H23" t="s">
        <v>691</v>
      </c>
      <c r="I23" t="s">
        <v>692</v>
      </c>
      <c r="M23" t="s">
        <v>1350</v>
      </c>
      <c r="N23" t="s">
        <v>1351</v>
      </c>
      <c r="O23" t="s">
        <v>1352</v>
      </c>
      <c r="P23" t="s">
        <v>1353</v>
      </c>
      <c r="Q23" t="s">
        <v>1354</v>
      </c>
      <c r="R23" t="s">
        <v>1355</v>
      </c>
      <c r="S23" t="s">
        <v>1356</v>
      </c>
      <c r="T23" t="s">
        <v>1357</v>
      </c>
      <c r="V23" t="str">
        <f t="shared" ref="V23:V38" si="5">RIGHT(C24,6)</f>
        <v>4687-6</v>
      </c>
    </row>
    <row r="24" spans="1:22" x14ac:dyDescent="0.3">
      <c r="A24">
        <v>2</v>
      </c>
      <c r="B24" t="s">
        <v>693</v>
      </c>
      <c r="C24" t="s">
        <v>694</v>
      </c>
      <c r="D24" t="s">
        <v>695</v>
      </c>
      <c r="E24" t="s">
        <v>696</v>
      </c>
      <c r="F24" t="s">
        <v>697</v>
      </c>
      <c r="G24" t="s">
        <v>698</v>
      </c>
      <c r="H24" t="s">
        <v>699</v>
      </c>
      <c r="I24" t="s">
        <v>700</v>
      </c>
      <c r="M24" t="s">
        <v>1358</v>
      </c>
      <c r="N24" t="s">
        <v>1359</v>
      </c>
      <c r="O24" t="s">
        <v>1360</v>
      </c>
      <c r="P24" t="s">
        <v>1361</v>
      </c>
      <c r="Q24" t="s">
        <v>1362</v>
      </c>
      <c r="R24">
        <v>8919</v>
      </c>
      <c r="S24">
        <v>3016</v>
      </c>
      <c r="T24" t="s">
        <v>1363</v>
      </c>
      <c r="V24" t="str">
        <f t="shared" si="5"/>
        <v>4591-5</v>
      </c>
    </row>
    <row r="25" spans="1:22" x14ac:dyDescent="0.3">
      <c r="A25">
        <v>3</v>
      </c>
      <c r="B25" t="s">
        <v>701</v>
      </c>
      <c r="C25" t="s">
        <v>702</v>
      </c>
      <c r="D25" t="s">
        <v>703</v>
      </c>
      <c r="E25" t="s">
        <v>704</v>
      </c>
      <c r="F25" t="s">
        <v>697</v>
      </c>
      <c r="G25" t="s">
        <v>705</v>
      </c>
      <c r="H25" t="s">
        <v>706</v>
      </c>
      <c r="I25" t="s">
        <v>707</v>
      </c>
      <c r="M25" t="s">
        <v>1364</v>
      </c>
      <c r="N25" t="s">
        <v>1365</v>
      </c>
      <c r="O25" t="s">
        <v>1366</v>
      </c>
      <c r="P25" t="s">
        <v>1367</v>
      </c>
      <c r="Q25" t="s">
        <v>1368</v>
      </c>
      <c r="R25" t="s">
        <v>1369</v>
      </c>
      <c r="S25" t="s">
        <v>1370</v>
      </c>
      <c r="T25" t="s">
        <v>1371</v>
      </c>
      <c r="V25" t="str">
        <f t="shared" si="5"/>
        <v>3673-6</v>
      </c>
    </row>
    <row r="26" spans="1:22" x14ac:dyDescent="0.3">
      <c r="A26">
        <v>4</v>
      </c>
      <c r="B26" t="s">
        <v>708</v>
      </c>
      <c r="C26" t="s">
        <v>709</v>
      </c>
      <c r="D26" t="s">
        <v>710</v>
      </c>
      <c r="E26" t="s">
        <v>711</v>
      </c>
      <c r="F26" t="s">
        <v>712</v>
      </c>
      <c r="G26" t="s">
        <v>697</v>
      </c>
      <c r="H26" t="s">
        <v>713</v>
      </c>
      <c r="I26" t="s">
        <v>714</v>
      </c>
      <c r="J26" t="s">
        <v>715</v>
      </c>
      <c r="M26" t="s">
        <v>1372</v>
      </c>
      <c r="N26" t="s">
        <v>1373</v>
      </c>
      <c r="O26" t="s">
        <v>1374</v>
      </c>
      <c r="P26" t="s">
        <v>1375</v>
      </c>
      <c r="Q26" t="s">
        <v>1376</v>
      </c>
      <c r="R26" t="s">
        <v>1377</v>
      </c>
      <c r="S26" t="s">
        <v>1378</v>
      </c>
      <c r="T26" t="s">
        <v>1379</v>
      </c>
      <c r="V26" t="str">
        <f t="shared" si="5"/>
        <v>0962-4</v>
      </c>
    </row>
    <row r="27" spans="1:22" x14ac:dyDescent="0.3">
      <c r="A27">
        <v>5</v>
      </c>
      <c r="B27" t="s">
        <v>716</v>
      </c>
      <c r="C27" t="s">
        <v>717</v>
      </c>
      <c r="D27" t="s">
        <v>718</v>
      </c>
      <c r="E27" t="s">
        <v>719</v>
      </c>
      <c r="F27" t="s">
        <v>720</v>
      </c>
      <c r="G27" t="s">
        <v>721</v>
      </c>
      <c r="H27" t="s">
        <v>722</v>
      </c>
      <c r="I27" t="s">
        <v>723</v>
      </c>
      <c r="M27">
        <v>7766</v>
      </c>
      <c r="N27" t="s">
        <v>1380</v>
      </c>
      <c r="O27" t="s">
        <v>1381</v>
      </c>
      <c r="P27" t="s">
        <v>1382</v>
      </c>
      <c r="Q27" t="s">
        <v>1383</v>
      </c>
      <c r="R27" t="s">
        <v>1384</v>
      </c>
      <c r="S27">
        <v>3743</v>
      </c>
      <c r="T27" t="s">
        <v>1385</v>
      </c>
      <c r="V27" t="str">
        <f t="shared" si="5"/>
        <v>3901-0</v>
      </c>
    </row>
    <row r="28" spans="1:22" x14ac:dyDescent="0.3">
      <c r="A28">
        <v>6</v>
      </c>
      <c r="B28" t="s">
        <v>724</v>
      </c>
      <c r="C28" t="s">
        <v>725</v>
      </c>
      <c r="D28" t="s">
        <v>726</v>
      </c>
      <c r="E28" t="s">
        <v>727</v>
      </c>
      <c r="F28" t="s">
        <v>697</v>
      </c>
      <c r="G28" t="s">
        <v>728</v>
      </c>
      <c r="H28" t="s">
        <v>729</v>
      </c>
      <c r="I28" t="s">
        <v>730</v>
      </c>
      <c r="M28">
        <v>9689</v>
      </c>
      <c r="N28">
        <v>748</v>
      </c>
      <c r="O28" t="s">
        <v>1386</v>
      </c>
      <c r="P28" t="s">
        <v>1387</v>
      </c>
      <c r="Q28" t="s">
        <v>1388</v>
      </c>
      <c r="R28">
        <v>2460</v>
      </c>
      <c r="S28" t="s">
        <v>1389</v>
      </c>
      <c r="T28" t="s">
        <v>1390</v>
      </c>
      <c r="V28" t="str">
        <f t="shared" si="5"/>
        <v>0105-5</v>
      </c>
    </row>
    <row r="29" spans="1:22" x14ac:dyDescent="0.3">
      <c r="A29">
        <v>7</v>
      </c>
      <c r="B29" t="s">
        <v>731</v>
      </c>
      <c r="C29" t="s">
        <v>732</v>
      </c>
      <c r="D29" t="s">
        <v>733</v>
      </c>
      <c r="E29" t="s">
        <v>734</v>
      </c>
      <c r="F29" t="s">
        <v>735</v>
      </c>
      <c r="G29" t="s">
        <v>736</v>
      </c>
      <c r="H29" t="s">
        <v>737</v>
      </c>
      <c r="I29" t="s">
        <v>738</v>
      </c>
      <c r="M29">
        <v>9436</v>
      </c>
      <c r="N29">
        <v>2117</v>
      </c>
      <c r="O29" t="s">
        <v>1391</v>
      </c>
      <c r="P29" t="s">
        <v>1392</v>
      </c>
      <c r="Q29" s="8">
        <v>5000000000000</v>
      </c>
      <c r="R29" t="s">
        <v>1393</v>
      </c>
      <c r="S29" t="s">
        <v>1394</v>
      </c>
      <c r="T29" t="s">
        <v>1395</v>
      </c>
      <c r="V29" t="str">
        <f t="shared" si="5"/>
        <v>4462-9</v>
      </c>
    </row>
    <row r="30" spans="1:22" x14ac:dyDescent="0.3">
      <c r="A30">
        <v>8</v>
      </c>
      <c r="B30" t="s">
        <v>739</v>
      </c>
      <c r="C30" t="s">
        <v>740</v>
      </c>
      <c r="D30" t="s">
        <v>741</v>
      </c>
      <c r="E30" t="s">
        <v>742</v>
      </c>
      <c r="F30" t="s">
        <v>712</v>
      </c>
      <c r="G30" t="s">
        <v>743</v>
      </c>
      <c r="H30" t="s">
        <v>744</v>
      </c>
      <c r="I30" t="s">
        <v>745</v>
      </c>
      <c r="J30" t="s">
        <v>746</v>
      </c>
      <c r="M30" t="s">
        <v>1396</v>
      </c>
      <c r="N30" t="s">
        <v>1397</v>
      </c>
      <c r="O30" t="s">
        <v>1398</v>
      </c>
      <c r="P30" s="8">
        <v>87000000</v>
      </c>
      <c r="Q30" t="s">
        <v>1399</v>
      </c>
      <c r="R30" t="s">
        <v>1400</v>
      </c>
      <c r="S30">
        <v>9453</v>
      </c>
      <c r="T30" t="s">
        <v>1401</v>
      </c>
      <c r="V30" t="str">
        <f t="shared" si="5"/>
        <v>6440-3</v>
      </c>
    </row>
    <row r="31" spans="1:22" x14ac:dyDescent="0.3">
      <c r="A31">
        <v>9</v>
      </c>
      <c r="B31" t="s">
        <v>747</v>
      </c>
      <c r="C31" t="s">
        <v>748</v>
      </c>
      <c r="D31" t="s">
        <v>749</v>
      </c>
      <c r="E31" t="s">
        <v>750</v>
      </c>
      <c r="F31" t="s">
        <v>751</v>
      </c>
      <c r="G31" t="s">
        <v>752</v>
      </c>
      <c r="H31" t="s">
        <v>753</v>
      </c>
      <c r="I31" t="s">
        <v>754</v>
      </c>
      <c r="M31" t="s">
        <v>1402</v>
      </c>
      <c r="N31" t="s">
        <v>1403</v>
      </c>
      <c r="O31" t="s">
        <v>1404</v>
      </c>
      <c r="P31">
        <v>2121</v>
      </c>
      <c r="Q31" t="s">
        <v>1405</v>
      </c>
      <c r="R31" t="s">
        <v>1406</v>
      </c>
      <c r="S31" t="s">
        <v>1407</v>
      </c>
      <c r="T31" t="s">
        <v>1408</v>
      </c>
      <c r="V31" t="str">
        <f t="shared" si="5"/>
        <v>2801-X</v>
      </c>
    </row>
    <row r="32" spans="1:22" x14ac:dyDescent="0.3">
      <c r="A32">
        <v>10</v>
      </c>
      <c r="B32" t="s">
        <v>755</v>
      </c>
      <c r="C32" t="s">
        <v>756</v>
      </c>
      <c r="D32" t="s">
        <v>757</v>
      </c>
      <c r="E32" t="s">
        <v>758</v>
      </c>
      <c r="F32" t="s">
        <v>759</v>
      </c>
      <c r="G32" t="s">
        <v>760</v>
      </c>
      <c r="H32" t="s">
        <v>761</v>
      </c>
      <c r="I32" t="s">
        <v>762</v>
      </c>
      <c r="M32" t="s">
        <v>1409</v>
      </c>
      <c r="N32" t="s">
        <v>1410</v>
      </c>
      <c r="O32" t="s">
        <v>1411</v>
      </c>
      <c r="P32" t="s">
        <v>1412</v>
      </c>
      <c r="Q32" t="s">
        <v>1413</v>
      </c>
      <c r="R32" t="s">
        <v>1414</v>
      </c>
      <c r="S32" s="8">
        <v>3500000</v>
      </c>
      <c r="T32" t="s">
        <v>1415</v>
      </c>
      <c r="V32" t="str">
        <f t="shared" si="5"/>
        <v>1665-8</v>
      </c>
    </row>
    <row r="33" spans="1:22" x14ac:dyDescent="0.3">
      <c r="A33">
        <v>11</v>
      </c>
      <c r="B33" t="s">
        <v>763</v>
      </c>
      <c r="C33" t="s">
        <v>764</v>
      </c>
      <c r="D33" t="s">
        <v>765</v>
      </c>
      <c r="E33" t="s">
        <v>766</v>
      </c>
      <c r="F33" t="s">
        <v>697</v>
      </c>
      <c r="G33" t="s">
        <v>767</v>
      </c>
      <c r="H33" t="s">
        <v>768</v>
      </c>
      <c r="I33" t="s">
        <v>769</v>
      </c>
      <c r="M33" t="s">
        <v>1416</v>
      </c>
      <c r="N33" t="s">
        <v>1417</v>
      </c>
      <c r="O33">
        <v>566</v>
      </c>
      <c r="P33" t="s">
        <v>1418</v>
      </c>
      <c r="Q33" t="s">
        <v>1419</v>
      </c>
      <c r="R33" t="s">
        <v>1420</v>
      </c>
      <c r="S33">
        <v>4697</v>
      </c>
      <c r="T33" t="s">
        <v>1421</v>
      </c>
      <c r="V33" t="str">
        <f t="shared" si="5"/>
        <v>1283-0</v>
      </c>
    </row>
    <row r="34" spans="1:22" x14ac:dyDescent="0.3">
      <c r="A34">
        <v>12</v>
      </c>
      <c r="B34" t="s">
        <v>770</v>
      </c>
      <c r="C34" t="s">
        <v>771</v>
      </c>
      <c r="D34" t="s">
        <v>772</v>
      </c>
      <c r="E34" t="s">
        <v>773</v>
      </c>
      <c r="F34" t="s">
        <v>697</v>
      </c>
      <c r="G34" t="s">
        <v>774</v>
      </c>
      <c r="H34" t="s">
        <v>775</v>
      </c>
      <c r="I34" t="s">
        <v>776</v>
      </c>
      <c r="M34" t="s">
        <v>1422</v>
      </c>
      <c r="N34" t="s">
        <v>1423</v>
      </c>
      <c r="O34">
        <v>7028</v>
      </c>
      <c r="P34" t="s">
        <v>1424</v>
      </c>
      <c r="Q34" t="s">
        <v>1425</v>
      </c>
      <c r="R34" s="8">
        <v>2.9999999999999998E+70</v>
      </c>
      <c r="S34" t="s">
        <v>1426</v>
      </c>
      <c r="T34" t="s">
        <v>1427</v>
      </c>
      <c r="V34" t="str">
        <f t="shared" si="5"/>
        <v>1299-1</v>
      </c>
    </row>
    <row r="35" spans="1:22" x14ac:dyDescent="0.3">
      <c r="A35">
        <v>13</v>
      </c>
      <c r="B35" t="s">
        <v>777</v>
      </c>
      <c r="C35" t="s">
        <v>778</v>
      </c>
      <c r="D35" t="s">
        <v>779</v>
      </c>
      <c r="E35" t="s">
        <v>780</v>
      </c>
      <c r="F35" t="s">
        <v>751</v>
      </c>
      <c r="G35" t="s">
        <v>781</v>
      </c>
      <c r="H35" t="s">
        <v>782</v>
      </c>
      <c r="I35" t="s">
        <v>783</v>
      </c>
      <c r="M35" t="s">
        <v>1428</v>
      </c>
      <c r="N35" t="s">
        <v>1429</v>
      </c>
      <c r="O35" t="s">
        <v>1430</v>
      </c>
      <c r="P35" t="s">
        <v>1431</v>
      </c>
      <c r="Q35" t="s">
        <v>1432</v>
      </c>
      <c r="R35" t="s">
        <v>1433</v>
      </c>
      <c r="S35">
        <v>766</v>
      </c>
      <c r="T35" t="s">
        <v>1434</v>
      </c>
      <c r="V35" t="str">
        <f t="shared" si="5"/>
        <v>2680-X</v>
      </c>
    </row>
    <row r="36" spans="1:22" x14ac:dyDescent="0.3">
      <c r="A36">
        <v>14</v>
      </c>
      <c r="B36" t="s">
        <v>784</v>
      </c>
      <c r="C36" t="s">
        <v>785</v>
      </c>
      <c r="D36" t="s">
        <v>786</v>
      </c>
      <c r="E36" t="s">
        <v>787</v>
      </c>
      <c r="F36" t="s">
        <v>788</v>
      </c>
      <c r="G36" t="s">
        <v>760</v>
      </c>
      <c r="H36" t="s">
        <v>789</v>
      </c>
      <c r="I36" t="s">
        <v>790</v>
      </c>
      <c r="M36" t="s">
        <v>1435</v>
      </c>
      <c r="N36" t="s">
        <v>1436</v>
      </c>
      <c r="O36" t="s">
        <v>1437</v>
      </c>
      <c r="P36">
        <v>2217</v>
      </c>
      <c r="Q36" t="s">
        <v>1438</v>
      </c>
      <c r="R36" t="s">
        <v>1439</v>
      </c>
      <c r="S36" t="s">
        <v>1440</v>
      </c>
      <c r="T36" t="s">
        <v>1441</v>
      </c>
      <c r="V36" t="str">
        <f t="shared" si="5"/>
        <v>3558-7</v>
      </c>
    </row>
    <row r="37" spans="1:22" x14ac:dyDescent="0.3">
      <c r="A37">
        <v>15</v>
      </c>
      <c r="B37" t="s">
        <v>791</v>
      </c>
      <c r="C37" t="s">
        <v>792</v>
      </c>
      <c r="D37" t="s">
        <v>793</v>
      </c>
      <c r="E37" t="s">
        <v>794</v>
      </c>
      <c r="F37" t="s">
        <v>697</v>
      </c>
      <c r="G37" t="s">
        <v>795</v>
      </c>
      <c r="H37" t="s">
        <v>796</v>
      </c>
      <c r="I37" t="s">
        <v>797</v>
      </c>
      <c r="M37" t="s">
        <v>1442</v>
      </c>
      <c r="N37" t="s">
        <v>1443</v>
      </c>
      <c r="O37" t="s">
        <v>1444</v>
      </c>
      <c r="P37" t="s">
        <v>1445</v>
      </c>
      <c r="Q37" t="s">
        <v>1446</v>
      </c>
      <c r="R37" t="s">
        <v>1447</v>
      </c>
      <c r="S37" t="s">
        <v>1448</v>
      </c>
      <c r="T37" t="s">
        <v>1449</v>
      </c>
      <c r="V37" t="str">
        <f t="shared" si="5"/>
        <v>8070-0</v>
      </c>
    </row>
    <row r="38" spans="1:22" x14ac:dyDescent="0.3">
      <c r="A38">
        <v>16</v>
      </c>
      <c r="B38" t="s">
        <v>798</v>
      </c>
      <c r="C38" t="s">
        <v>799</v>
      </c>
      <c r="D38" t="s">
        <v>800</v>
      </c>
      <c r="E38" t="s">
        <v>801</v>
      </c>
      <c r="F38" t="s">
        <v>697</v>
      </c>
      <c r="G38" t="s">
        <v>802</v>
      </c>
      <c r="H38" t="s">
        <v>803</v>
      </c>
      <c r="I38" t="s">
        <v>804</v>
      </c>
      <c r="M38" t="s">
        <v>1450</v>
      </c>
      <c r="N38" t="s">
        <v>1451</v>
      </c>
      <c r="O38">
        <v>2143</v>
      </c>
      <c r="P38" t="s">
        <v>1452</v>
      </c>
      <c r="Q38" t="s">
        <v>1453</v>
      </c>
      <c r="R38" t="s">
        <v>1454</v>
      </c>
      <c r="S38" t="s">
        <v>1455</v>
      </c>
      <c r="T38" t="s">
        <v>1456</v>
      </c>
      <c r="V38" t="str">
        <f t="shared" si="5"/>
        <v>8516-3</v>
      </c>
    </row>
    <row r="39" spans="1:22" x14ac:dyDescent="0.3">
      <c r="A39">
        <v>17</v>
      </c>
      <c r="B39" t="s">
        <v>805</v>
      </c>
      <c r="C39" t="s">
        <v>806</v>
      </c>
      <c r="D39" t="s">
        <v>807</v>
      </c>
      <c r="E39" t="s">
        <v>808</v>
      </c>
      <c r="F39" t="s">
        <v>809</v>
      </c>
      <c r="G39" t="s">
        <v>810</v>
      </c>
      <c r="H39" t="s">
        <v>811</v>
      </c>
      <c r="I39" t="s">
        <v>812</v>
      </c>
      <c r="M39">
        <v>3140</v>
      </c>
      <c r="N39" t="s">
        <v>1457</v>
      </c>
      <c r="O39" t="s">
        <v>1458</v>
      </c>
      <c r="P39" t="s">
        <v>1459</v>
      </c>
      <c r="Q39" t="s">
        <v>1460</v>
      </c>
      <c r="R39" t="s">
        <v>1461</v>
      </c>
      <c r="S39" t="s">
        <v>1462</v>
      </c>
      <c r="T39" t="s">
        <v>1463</v>
      </c>
    </row>
    <row r="40" spans="1:22" x14ac:dyDescent="0.3">
      <c r="A40">
        <v>18</v>
      </c>
      <c r="B40" t="s">
        <v>813</v>
      </c>
      <c r="C40" t="s">
        <v>814</v>
      </c>
      <c r="D40" t="s">
        <v>815</v>
      </c>
      <c r="E40" t="s">
        <v>816</v>
      </c>
      <c r="F40" t="s">
        <v>697</v>
      </c>
      <c r="G40" t="s">
        <v>817</v>
      </c>
      <c r="H40" t="s">
        <v>796</v>
      </c>
      <c r="I40" t="s">
        <v>818</v>
      </c>
      <c r="M40">
        <v>4413</v>
      </c>
      <c r="N40" t="s">
        <v>1464</v>
      </c>
      <c r="O40" t="s">
        <v>1465</v>
      </c>
      <c r="P40" t="s">
        <v>1466</v>
      </c>
      <c r="Q40" t="s">
        <v>1467</v>
      </c>
      <c r="R40" t="s">
        <v>1468</v>
      </c>
      <c r="S40" t="s">
        <v>1469</v>
      </c>
      <c r="T40" t="s">
        <v>1470</v>
      </c>
    </row>
    <row r="41" spans="1:22" x14ac:dyDescent="0.3">
      <c r="A41">
        <v>19</v>
      </c>
      <c r="B41" t="s">
        <v>819</v>
      </c>
      <c r="C41" t="s">
        <v>820</v>
      </c>
      <c r="D41" t="s">
        <v>821</v>
      </c>
      <c r="E41" t="s">
        <v>822</v>
      </c>
      <c r="F41" t="s">
        <v>697</v>
      </c>
      <c r="G41" t="s">
        <v>823</v>
      </c>
      <c r="H41" t="s">
        <v>824</v>
      </c>
      <c r="I41" t="s">
        <v>825</v>
      </c>
      <c r="M41" t="s">
        <v>1471</v>
      </c>
      <c r="N41" t="s">
        <v>1472</v>
      </c>
      <c r="O41" t="s">
        <v>1473</v>
      </c>
      <c r="P41" t="s">
        <v>1474</v>
      </c>
      <c r="Q41" t="s">
        <v>1475</v>
      </c>
      <c r="R41" t="s">
        <v>1476</v>
      </c>
      <c r="S41" t="s">
        <v>1477</v>
      </c>
      <c r="T41" t="s">
        <v>1478</v>
      </c>
    </row>
    <row r="42" spans="1:22" x14ac:dyDescent="0.3">
      <c r="A42">
        <v>20</v>
      </c>
      <c r="B42" t="s">
        <v>826</v>
      </c>
      <c r="C42" t="s">
        <v>827</v>
      </c>
      <c r="D42" t="s">
        <v>828</v>
      </c>
      <c r="E42" t="s">
        <v>829</v>
      </c>
      <c r="F42" t="s">
        <v>830</v>
      </c>
      <c r="G42" t="s">
        <v>831</v>
      </c>
      <c r="H42" t="s">
        <v>699</v>
      </c>
      <c r="I42" t="s">
        <v>832</v>
      </c>
      <c r="M42">
        <v>278</v>
      </c>
      <c r="N42" t="s">
        <v>1479</v>
      </c>
      <c r="O42" t="s">
        <v>1480</v>
      </c>
      <c r="P42" t="s">
        <v>1369</v>
      </c>
      <c r="Q42" t="s">
        <v>1481</v>
      </c>
      <c r="R42" t="s">
        <v>1482</v>
      </c>
      <c r="S42" t="s">
        <v>1483</v>
      </c>
      <c r="T42" t="s">
        <v>1484</v>
      </c>
    </row>
    <row r="43" spans="1:22" x14ac:dyDescent="0.3">
      <c r="A43">
        <v>21</v>
      </c>
      <c r="B43" t="s">
        <v>833</v>
      </c>
      <c r="C43" t="s">
        <v>834</v>
      </c>
      <c r="D43" t="s">
        <v>835</v>
      </c>
      <c r="E43" t="s">
        <v>836</v>
      </c>
      <c r="F43" t="s">
        <v>697</v>
      </c>
      <c r="G43" t="s">
        <v>837</v>
      </c>
      <c r="H43" t="s">
        <v>838</v>
      </c>
      <c r="I43" t="s">
        <v>839</v>
      </c>
      <c r="M43" t="s">
        <v>1485</v>
      </c>
      <c r="N43">
        <v>7308</v>
      </c>
      <c r="O43">
        <v>3219</v>
      </c>
      <c r="P43" t="s">
        <v>1486</v>
      </c>
      <c r="Q43" t="s">
        <v>1487</v>
      </c>
      <c r="R43">
        <v>2005</v>
      </c>
      <c r="S43" t="s">
        <v>1488</v>
      </c>
      <c r="T43" t="s">
        <v>1489</v>
      </c>
    </row>
    <row r="44" spans="1:22" x14ac:dyDescent="0.3">
      <c r="A44">
        <v>22</v>
      </c>
      <c r="B44" t="s">
        <v>840</v>
      </c>
      <c r="C44" t="s">
        <v>841</v>
      </c>
      <c r="D44" t="s">
        <v>842</v>
      </c>
      <c r="E44" t="s">
        <v>843</v>
      </c>
      <c r="F44" t="s">
        <v>697</v>
      </c>
      <c r="G44" t="s">
        <v>844</v>
      </c>
      <c r="H44" t="s">
        <v>845</v>
      </c>
      <c r="I44" t="s">
        <v>846</v>
      </c>
      <c r="M44" t="s">
        <v>1490</v>
      </c>
      <c r="N44" t="s">
        <v>1491</v>
      </c>
      <c r="O44" s="8">
        <v>9.9999999999999995E+48</v>
      </c>
      <c r="P44" t="s">
        <v>1492</v>
      </c>
      <c r="Q44" t="s">
        <v>1493</v>
      </c>
      <c r="R44" t="s">
        <v>1494</v>
      </c>
      <c r="S44" t="s">
        <v>1495</v>
      </c>
      <c r="T44" t="s">
        <v>1496</v>
      </c>
    </row>
    <row r="45" spans="1:22" x14ac:dyDescent="0.3">
      <c r="A45">
        <v>23</v>
      </c>
      <c r="B45" t="s">
        <v>847</v>
      </c>
      <c r="C45" t="s">
        <v>848</v>
      </c>
      <c r="D45" t="s">
        <v>849</v>
      </c>
      <c r="E45" t="s">
        <v>850</v>
      </c>
      <c r="F45" t="s">
        <v>851</v>
      </c>
      <c r="G45" t="s">
        <v>852</v>
      </c>
      <c r="H45" t="s">
        <v>853</v>
      </c>
      <c r="I45" t="s">
        <v>854</v>
      </c>
      <c r="M45" t="s">
        <v>1497</v>
      </c>
      <c r="N45" t="s">
        <v>1498</v>
      </c>
      <c r="O45" t="s">
        <v>1499</v>
      </c>
      <c r="P45" t="s">
        <v>1500</v>
      </c>
      <c r="Q45" t="s">
        <v>1501</v>
      </c>
      <c r="R45" t="s">
        <v>1502</v>
      </c>
      <c r="S45" t="s">
        <v>1503</v>
      </c>
      <c r="T45" t="s">
        <v>1504</v>
      </c>
    </row>
    <row r="46" spans="1:22" x14ac:dyDescent="0.3">
      <c r="A46">
        <v>24</v>
      </c>
      <c r="B46" t="s">
        <v>855</v>
      </c>
      <c r="C46" t="s">
        <v>856</v>
      </c>
      <c r="D46" t="s">
        <v>857</v>
      </c>
      <c r="E46" t="s">
        <v>858</v>
      </c>
      <c r="F46" t="s">
        <v>697</v>
      </c>
      <c r="G46" t="s">
        <v>859</v>
      </c>
      <c r="H46" t="s">
        <v>860</v>
      </c>
      <c r="I46" t="s">
        <v>861</v>
      </c>
      <c r="M46" t="s">
        <v>1505</v>
      </c>
      <c r="N46" t="s">
        <v>1506</v>
      </c>
      <c r="O46">
        <v>2515</v>
      </c>
      <c r="P46">
        <v>4851</v>
      </c>
      <c r="Q46" t="s">
        <v>1507</v>
      </c>
      <c r="R46" t="s">
        <v>1508</v>
      </c>
      <c r="S46" t="s">
        <v>1509</v>
      </c>
      <c r="T46" t="s">
        <v>1510</v>
      </c>
    </row>
    <row r="47" spans="1:22" x14ac:dyDescent="0.3">
      <c r="A47">
        <v>25</v>
      </c>
      <c r="B47" t="s">
        <v>862</v>
      </c>
      <c r="C47" t="s">
        <v>863</v>
      </c>
      <c r="D47" t="s">
        <v>864</v>
      </c>
      <c r="E47" t="s">
        <v>865</v>
      </c>
      <c r="F47" t="s">
        <v>697</v>
      </c>
      <c r="G47" t="s">
        <v>866</v>
      </c>
      <c r="H47" t="s">
        <v>729</v>
      </c>
      <c r="I47" t="s">
        <v>867</v>
      </c>
      <c r="M47" t="s">
        <v>1511</v>
      </c>
      <c r="N47" t="s">
        <v>1512</v>
      </c>
      <c r="O47" s="8">
        <v>3E+39</v>
      </c>
      <c r="P47" t="s">
        <v>1513</v>
      </c>
      <c r="Q47" t="s">
        <v>1514</v>
      </c>
      <c r="R47" t="s">
        <v>1515</v>
      </c>
      <c r="S47" t="s">
        <v>1516</v>
      </c>
      <c r="T47" t="s">
        <v>1517</v>
      </c>
    </row>
    <row r="48" spans="1:22" x14ac:dyDescent="0.3">
      <c r="A48">
        <v>26</v>
      </c>
      <c r="B48" t="s">
        <v>868</v>
      </c>
      <c r="C48" t="s">
        <v>869</v>
      </c>
      <c r="D48" t="s">
        <v>870</v>
      </c>
      <c r="E48" t="s">
        <v>871</v>
      </c>
      <c r="F48" t="s">
        <v>743</v>
      </c>
      <c r="G48" t="s">
        <v>872</v>
      </c>
      <c r="H48" t="s">
        <v>873</v>
      </c>
      <c r="I48" t="s">
        <v>874</v>
      </c>
      <c r="M48" t="s">
        <v>1518</v>
      </c>
      <c r="N48" t="s">
        <v>1519</v>
      </c>
      <c r="O48" t="s">
        <v>1520</v>
      </c>
      <c r="P48">
        <v>9021</v>
      </c>
      <c r="Q48" t="s">
        <v>1521</v>
      </c>
      <c r="R48" t="s">
        <v>1522</v>
      </c>
      <c r="S48">
        <v>1113</v>
      </c>
      <c r="T48" t="s">
        <v>1523</v>
      </c>
    </row>
    <row r="49" spans="1:20" x14ac:dyDescent="0.3">
      <c r="A49">
        <v>27</v>
      </c>
      <c r="B49" t="s">
        <v>875</v>
      </c>
      <c r="C49" t="s">
        <v>876</v>
      </c>
      <c r="D49" t="s">
        <v>877</v>
      </c>
      <c r="E49" t="s">
        <v>878</v>
      </c>
      <c r="F49" t="s">
        <v>697</v>
      </c>
      <c r="G49" t="s">
        <v>879</v>
      </c>
      <c r="H49" t="s">
        <v>880</v>
      </c>
      <c r="I49" t="s">
        <v>881</v>
      </c>
      <c r="M49" t="s">
        <v>1524</v>
      </c>
      <c r="N49" t="s">
        <v>1525</v>
      </c>
      <c r="O49">
        <v>2268</v>
      </c>
      <c r="P49" t="s">
        <v>1526</v>
      </c>
      <c r="Q49" t="s">
        <v>1527</v>
      </c>
      <c r="R49" t="s">
        <v>1528</v>
      </c>
      <c r="S49" t="s">
        <v>1529</v>
      </c>
      <c r="T49" t="s">
        <v>1530</v>
      </c>
    </row>
    <row r="50" spans="1:20" x14ac:dyDescent="0.3">
      <c r="A50">
        <v>28</v>
      </c>
      <c r="B50" t="s">
        <v>882</v>
      </c>
      <c r="C50" t="s">
        <v>883</v>
      </c>
      <c r="D50" t="s">
        <v>884</v>
      </c>
      <c r="E50" t="s">
        <v>885</v>
      </c>
      <c r="F50" t="s">
        <v>697</v>
      </c>
      <c r="G50" t="s">
        <v>886</v>
      </c>
      <c r="H50" t="s">
        <v>887</v>
      </c>
      <c r="I50" t="s">
        <v>888</v>
      </c>
      <c r="M50" t="s">
        <v>1531</v>
      </c>
      <c r="N50" t="s">
        <v>1532</v>
      </c>
      <c r="O50" t="s">
        <v>1533</v>
      </c>
      <c r="P50">
        <v>6621</v>
      </c>
      <c r="Q50" t="s">
        <v>1534</v>
      </c>
      <c r="R50" t="s">
        <v>1535</v>
      </c>
      <c r="S50" t="s">
        <v>1536</v>
      </c>
      <c r="T50" t="s">
        <v>1537</v>
      </c>
    </row>
    <row r="51" spans="1:20" x14ac:dyDescent="0.3">
      <c r="A51">
        <v>29</v>
      </c>
      <c r="B51" t="s">
        <v>889</v>
      </c>
      <c r="C51" t="s">
        <v>890</v>
      </c>
      <c r="D51" t="s">
        <v>891</v>
      </c>
      <c r="E51" t="s">
        <v>892</v>
      </c>
      <c r="F51" t="s">
        <v>697</v>
      </c>
      <c r="G51" t="s">
        <v>774</v>
      </c>
      <c r="H51" t="s">
        <v>691</v>
      </c>
      <c r="I51" t="s">
        <v>893</v>
      </c>
      <c r="M51" t="s">
        <v>1538</v>
      </c>
      <c r="N51" t="s">
        <v>1539</v>
      </c>
      <c r="O51" t="s">
        <v>1540</v>
      </c>
      <c r="P51" t="s">
        <v>1541</v>
      </c>
      <c r="Q51" t="s">
        <v>1542</v>
      </c>
      <c r="R51" t="s">
        <v>1543</v>
      </c>
      <c r="S51" t="s">
        <v>1544</v>
      </c>
      <c r="T51" t="s">
        <v>1545</v>
      </c>
    </row>
    <row r="52" spans="1:20" x14ac:dyDescent="0.3">
      <c r="A52">
        <v>30</v>
      </c>
      <c r="B52" t="s">
        <v>894</v>
      </c>
      <c r="C52" t="s">
        <v>895</v>
      </c>
      <c r="D52" t="s">
        <v>896</v>
      </c>
      <c r="E52" t="s">
        <v>897</v>
      </c>
      <c r="F52" t="s">
        <v>697</v>
      </c>
      <c r="G52" t="s">
        <v>898</v>
      </c>
      <c r="H52" t="s">
        <v>899</v>
      </c>
      <c r="I52" t="s">
        <v>900</v>
      </c>
      <c r="M52" t="s">
        <v>1546</v>
      </c>
      <c r="N52" t="s">
        <v>1547</v>
      </c>
      <c r="O52" t="s">
        <v>1548</v>
      </c>
      <c r="P52" t="s">
        <v>1549</v>
      </c>
      <c r="Q52" t="s">
        <v>1550</v>
      </c>
      <c r="R52" t="s">
        <v>1551</v>
      </c>
      <c r="S52" s="8">
        <v>720</v>
      </c>
      <c r="T52" t="s">
        <v>1552</v>
      </c>
    </row>
    <row r="53" spans="1:20" x14ac:dyDescent="0.3">
      <c r="A53">
        <v>31</v>
      </c>
      <c r="B53" t="s">
        <v>901</v>
      </c>
      <c r="C53" t="s">
        <v>902</v>
      </c>
      <c r="D53" t="s">
        <v>903</v>
      </c>
      <c r="E53" t="s">
        <v>904</v>
      </c>
      <c r="F53" t="s">
        <v>697</v>
      </c>
      <c r="G53" t="s">
        <v>905</v>
      </c>
      <c r="H53" t="s">
        <v>906</v>
      </c>
      <c r="I53" t="s">
        <v>907</v>
      </c>
      <c r="M53" t="s">
        <v>1553</v>
      </c>
      <c r="N53" t="s">
        <v>1554</v>
      </c>
      <c r="O53" t="s">
        <v>1555</v>
      </c>
      <c r="P53" s="8">
        <v>6000000000</v>
      </c>
      <c r="Q53" t="s">
        <v>1556</v>
      </c>
      <c r="R53" t="s">
        <v>1557</v>
      </c>
      <c r="S53" t="s">
        <v>1558</v>
      </c>
      <c r="T53" t="s">
        <v>1559</v>
      </c>
    </row>
    <row r="54" spans="1:20" x14ac:dyDescent="0.3">
      <c r="A54">
        <v>32</v>
      </c>
      <c r="B54" t="s">
        <v>908</v>
      </c>
      <c r="C54" t="s">
        <v>909</v>
      </c>
      <c r="D54" t="s">
        <v>910</v>
      </c>
      <c r="E54" t="s">
        <v>911</v>
      </c>
      <c r="F54" t="s">
        <v>697</v>
      </c>
      <c r="G54" t="s">
        <v>912</v>
      </c>
      <c r="H54" t="s">
        <v>913</v>
      </c>
      <c r="I54" t="s">
        <v>914</v>
      </c>
      <c r="M54" t="s">
        <v>1560</v>
      </c>
      <c r="N54" t="s">
        <v>1561</v>
      </c>
      <c r="O54" t="s">
        <v>1562</v>
      </c>
      <c r="P54" t="s">
        <v>1563</v>
      </c>
      <c r="Q54" t="s">
        <v>1564</v>
      </c>
      <c r="R54" t="s">
        <v>1565</v>
      </c>
      <c r="S54" t="s">
        <v>1566</v>
      </c>
      <c r="T54" t="s">
        <v>1567</v>
      </c>
    </row>
    <row r="55" spans="1:20" x14ac:dyDescent="0.3">
      <c r="A55">
        <v>33</v>
      </c>
      <c r="B55" t="s">
        <v>915</v>
      </c>
      <c r="C55" t="s">
        <v>916</v>
      </c>
      <c r="D55" t="s">
        <v>917</v>
      </c>
      <c r="E55" t="s">
        <v>918</v>
      </c>
      <c r="F55" t="s">
        <v>689</v>
      </c>
      <c r="G55" t="s">
        <v>919</v>
      </c>
      <c r="H55" t="s">
        <v>920</v>
      </c>
      <c r="I55" t="s">
        <v>921</v>
      </c>
      <c r="M55">
        <v>871</v>
      </c>
      <c r="N55" t="s">
        <v>1568</v>
      </c>
      <c r="O55" t="s">
        <v>1569</v>
      </c>
      <c r="P55" t="s">
        <v>1570</v>
      </c>
      <c r="Q55" t="s">
        <v>1571</v>
      </c>
      <c r="R55" t="s">
        <v>1572</v>
      </c>
      <c r="S55" t="s">
        <v>1573</v>
      </c>
      <c r="T55" t="s">
        <v>1574</v>
      </c>
    </row>
    <row r="56" spans="1:20" x14ac:dyDescent="0.3">
      <c r="A56">
        <v>34</v>
      </c>
      <c r="B56" t="s">
        <v>922</v>
      </c>
      <c r="C56" t="s">
        <v>923</v>
      </c>
      <c r="D56" t="s">
        <v>924</v>
      </c>
      <c r="E56" t="s">
        <v>925</v>
      </c>
      <c r="F56" t="s">
        <v>697</v>
      </c>
      <c r="G56" t="s">
        <v>926</v>
      </c>
      <c r="H56" t="s">
        <v>927</v>
      </c>
      <c r="I56" t="s">
        <v>928</v>
      </c>
      <c r="M56" t="s">
        <v>1575</v>
      </c>
      <c r="N56" t="s">
        <v>1576</v>
      </c>
      <c r="O56" t="s">
        <v>1577</v>
      </c>
      <c r="P56" t="s">
        <v>1578</v>
      </c>
      <c r="Q56" t="s">
        <v>1579</v>
      </c>
      <c r="R56">
        <v>8651</v>
      </c>
      <c r="S56" t="s">
        <v>1580</v>
      </c>
      <c r="T56" t="s">
        <v>1581</v>
      </c>
    </row>
    <row r="57" spans="1:20" x14ac:dyDescent="0.3">
      <c r="A57">
        <v>35</v>
      </c>
      <c r="B57" t="s">
        <v>929</v>
      </c>
      <c r="C57" t="s">
        <v>930</v>
      </c>
      <c r="D57" t="s">
        <v>931</v>
      </c>
      <c r="E57" t="s">
        <v>932</v>
      </c>
      <c r="F57" t="s">
        <v>697</v>
      </c>
      <c r="G57" t="s">
        <v>933</v>
      </c>
      <c r="H57" t="s">
        <v>934</v>
      </c>
      <c r="I57" t="s">
        <v>935</v>
      </c>
      <c r="M57">
        <v>1494</v>
      </c>
      <c r="N57" t="s">
        <v>1582</v>
      </c>
      <c r="O57" t="s">
        <v>1583</v>
      </c>
      <c r="P57" t="s">
        <v>1584</v>
      </c>
      <c r="Q57" t="s">
        <v>1585</v>
      </c>
      <c r="R57" t="s">
        <v>1586</v>
      </c>
      <c r="S57" t="s">
        <v>1587</v>
      </c>
      <c r="T57" t="s">
        <v>1588</v>
      </c>
    </row>
    <row r="58" spans="1:20" x14ac:dyDescent="0.3">
      <c r="A58">
        <v>36</v>
      </c>
      <c r="B58" t="s">
        <v>936</v>
      </c>
      <c r="C58" t="s">
        <v>937</v>
      </c>
      <c r="D58" t="s">
        <v>938</v>
      </c>
      <c r="E58" t="s">
        <v>939</v>
      </c>
      <c r="F58" t="s">
        <v>697</v>
      </c>
      <c r="G58" t="s">
        <v>940</v>
      </c>
      <c r="H58" t="s">
        <v>789</v>
      </c>
      <c r="I58" t="s">
        <v>941</v>
      </c>
      <c r="M58" s="9">
        <v>44531</v>
      </c>
      <c r="N58">
        <v>8673</v>
      </c>
      <c r="O58" t="s">
        <v>1589</v>
      </c>
      <c r="P58" t="s">
        <v>1590</v>
      </c>
      <c r="Q58">
        <v>8042</v>
      </c>
      <c r="R58" t="s">
        <v>1591</v>
      </c>
      <c r="S58" s="8">
        <v>1.9999999999999999E+79</v>
      </c>
      <c r="T58" t="s">
        <v>1592</v>
      </c>
    </row>
    <row r="59" spans="1:20" x14ac:dyDescent="0.3">
      <c r="A59">
        <v>37</v>
      </c>
      <c r="B59" t="s">
        <v>942</v>
      </c>
      <c r="C59" t="s">
        <v>943</v>
      </c>
      <c r="D59" t="s">
        <v>944</v>
      </c>
      <c r="E59" t="s">
        <v>945</v>
      </c>
      <c r="F59" t="s">
        <v>697</v>
      </c>
      <c r="G59" t="s">
        <v>946</v>
      </c>
      <c r="H59" t="s">
        <v>947</v>
      </c>
      <c r="I59" t="s">
        <v>948</v>
      </c>
      <c r="M59" t="s">
        <v>1593</v>
      </c>
      <c r="N59" t="s">
        <v>1594</v>
      </c>
      <c r="O59" t="s">
        <v>1595</v>
      </c>
      <c r="P59" t="s">
        <v>1596</v>
      </c>
      <c r="Q59" s="8">
        <v>5E+18</v>
      </c>
      <c r="R59" t="s">
        <v>1597</v>
      </c>
      <c r="S59" t="s">
        <v>1598</v>
      </c>
      <c r="T59" t="s">
        <v>1599</v>
      </c>
    </row>
    <row r="60" spans="1:20" x14ac:dyDescent="0.3">
      <c r="A60">
        <v>38</v>
      </c>
      <c r="B60" t="s">
        <v>949</v>
      </c>
      <c r="C60" t="s">
        <v>950</v>
      </c>
      <c r="D60" t="s">
        <v>951</v>
      </c>
      <c r="E60" t="s">
        <v>952</v>
      </c>
      <c r="F60" t="s">
        <v>953</v>
      </c>
      <c r="G60" t="s">
        <v>954</v>
      </c>
      <c r="H60" t="s">
        <v>860</v>
      </c>
      <c r="I60" t="s">
        <v>955</v>
      </c>
      <c r="M60" t="s">
        <v>1600</v>
      </c>
      <c r="N60" t="s">
        <v>1601</v>
      </c>
      <c r="O60" t="s">
        <v>1602</v>
      </c>
      <c r="P60">
        <v>1805</v>
      </c>
      <c r="Q60" t="s">
        <v>1603</v>
      </c>
      <c r="R60" t="s">
        <v>1604</v>
      </c>
      <c r="S60">
        <v>5403</v>
      </c>
      <c r="T60" t="s">
        <v>1605</v>
      </c>
    </row>
    <row r="61" spans="1:20" x14ac:dyDescent="0.3">
      <c r="A61">
        <v>39</v>
      </c>
      <c r="B61" t="s">
        <v>956</v>
      </c>
      <c r="C61" t="s">
        <v>957</v>
      </c>
      <c r="D61" t="s">
        <v>958</v>
      </c>
      <c r="E61" t="s">
        <v>959</v>
      </c>
      <c r="F61" t="s">
        <v>960</v>
      </c>
      <c r="G61" t="s">
        <v>961</v>
      </c>
      <c r="H61" t="s">
        <v>753</v>
      </c>
      <c r="I61" t="s">
        <v>962</v>
      </c>
      <c r="M61">
        <v>3068</v>
      </c>
      <c r="N61" t="s">
        <v>1606</v>
      </c>
      <c r="O61">
        <v>8095</v>
      </c>
      <c r="P61" t="s">
        <v>1607</v>
      </c>
      <c r="Q61" t="s">
        <v>1608</v>
      </c>
      <c r="R61" t="s">
        <v>1609</v>
      </c>
      <c r="S61" t="s">
        <v>1610</v>
      </c>
      <c r="T61" t="s">
        <v>1611</v>
      </c>
    </row>
    <row r="62" spans="1:20" x14ac:dyDescent="0.3">
      <c r="A62">
        <v>40</v>
      </c>
      <c r="B62" t="s">
        <v>963</v>
      </c>
      <c r="C62" t="s">
        <v>964</v>
      </c>
      <c r="D62" t="s">
        <v>965</v>
      </c>
      <c r="E62" t="s">
        <v>966</v>
      </c>
      <c r="F62" t="s">
        <v>712</v>
      </c>
      <c r="G62" t="s">
        <v>689</v>
      </c>
      <c r="H62" t="s">
        <v>967</v>
      </c>
      <c r="I62" t="s">
        <v>873</v>
      </c>
      <c r="J62" t="s">
        <v>968</v>
      </c>
      <c r="M62" t="s">
        <v>1612</v>
      </c>
      <c r="N62" s="8">
        <v>2.0000000000000001E+69</v>
      </c>
      <c r="O62">
        <v>29</v>
      </c>
      <c r="P62" t="s">
        <v>1613</v>
      </c>
      <c r="Q62">
        <v>2481</v>
      </c>
      <c r="R62" t="s">
        <v>1614</v>
      </c>
      <c r="S62" t="s">
        <v>1615</v>
      </c>
      <c r="T62" t="s">
        <v>1616</v>
      </c>
    </row>
    <row r="63" spans="1:20" x14ac:dyDescent="0.3">
      <c r="A63">
        <v>41</v>
      </c>
      <c r="B63" t="s">
        <v>969</v>
      </c>
      <c r="C63" t="s">
        <v>970</v>
      </c>
      <c r="D63" t="s">
        <v>971</v>
      </c>
      <c r="E63" t="s">
        <v>972</v>
      </c>
      <c r="F63" t="s">
        <v>697</v>
      </c>
      <c r="G63" t="s">
        <v>973</v>
      </c>
      <c r="H63" t="s">
        <v>974</v>
      </c>
      <c r="I63" t="s">
        <v>975</v>
      </c>
      <c r="M63" t="s">
        <v>1617</v>
      </c>
      <c r="N63" t="s">
        <v>1618</v>
      </c>
      <c r="O63" t="s">
        <v>1619</v>
      </c>
      <c r="P63" t="s">
        <v>1620</v>
      </c>
      <c r="Q63" t="s">
        <v>1621</v>
      </c>
      <c r="R63" t="s">
        <v>1622</v>
      </c>
      <c r="S63" t="s">
        <v>1623</v>
      </c>
      <c r="T63" t="s">
        <v>1624</v>
      </c>
    </row>
    <row r="64" spans="1:20" x14ac:dyDescent="0.3">
      <c r="A64">
        <v>42</v>
      </c>
      <c r="B64" t="s">
        <v>976</v>
      </c>
      <c r="C64" t="s">
        <v>977</v>
      </c>
      <c r="D64" t="s">
        <v>978</v>
      </c>
      <c r="E64" t="s">
        <v>979</v>
      </c>
      <c r="F64" t="s">
        <v>697</v>
      </c>
      <c r="G64" t="s">
        <v>980</v>
      </c>
      <c r="H64" t="s">
        <v>873</v>
      </c>
      <c r="I64" t="s">
        <v>981</v>
      </c>
      <c r="M64">
        <v>7781</v>
      </c>
      <c r="N64" t="s">
        <v>1625</v>
      </c>
      <c r="O64" t="s">
        <v>1626</v>
      </c>
      <c r="P64" t="s">
        <v>1627</v>
      </c>
      <c r="Q64">
        <v>6243</v>
      </c>
      <c r="R64" t="s">
        <v>1628</v>
      </c>
      <c r="S64" t="s">
        <v>1629</v>
      </c>
      <c r="T64" t="s">
        <v>1630</v>
      </c>
    </row>
    <row r="65" spans="1:20" x14ac:dyDescent="0.3">
      <c r="A65">
        <v>43</v>
      </c>
      <c r="B65" t="s">
        <v>982</v>
      </c>
      <c r="C65" t="s">
        <v>983</v>
      </c>
      <c r="D65" t="s">
        <v>984</v>
      </c>
      <c r="E65" t="s">
        <v>985</v>
      </c>
      <c r="F65" t="s">
        <v>743</v>
      </c>
      <c r="G65" t="s">
        <v>986</v>
      </c>
      <c r="H65" t="s">
        <v>987</v>
      </c>
      <c r="I65" t="s">
        <v>988</v>
      </c>
      <c r="M65" t="s">
        <v>1631</v>
      </c>
      <c r="N65">
        <v>8221</v>
      </c>
      <c r="O65" t="s">
        <v>1632</v>
      </c>
      <c r="P65" t="s">
        <v>1633</v>
      </c>
      <c r="Q65" t="s">
        <v>1634</v>
      </c>
      <c r="R65" t="s">
        <v>1635</v>
      </c>
      <c r="S65" t="s">
        <v>1636</v>
      </c>
      <c r="T65" t="s">
        <v>1637</v>
      </c>
    </row>
    <row r="66" spans="1:20" x14ac:dyDescent="0.3">
      <c r="A66">
        <v>44</v>
      </c>
      <c r="B66" t="s">
        <v>989</v>
      </c>
      <c r="C66" t="s">
        <v>990</v>
      </c>
      <c r="D66" t="s">
        <v>991</v>
      </c>
      <c r="E66" t="s">
        <v>992</v>
      </c>
      <c r="F66" t="s">
        <v>697</v>
      </c>
      <c r="G66" t="s">
        <v>993</v>
      </c>
      <c r="H66" t="s">
        <v>860</v>
      </c>
      <c r="I66" t="s">
        <v>994</v>
      </c>
      <c r="M66" t="s">
        <v>1638</v>
      </c>
      <c r="N66" t="s">
        <v>1639</v>
      </c>
      <c r="O66" t="s">
        <v>1640</v>
      </c>
      <c r="P66">
        <v>3168</v>
      </c>
      <c r="Q66">
        <v>3896</v>
      </c>
      <c r="R66" t="s">
        <v>1641</v>
      </c>
      <c r="S66" t="s">
        <v>1642</v>
      </c>
      <c r="T66" t="s">
        <v>1643</v>
      </c>
    </row>
    <row r="67" spans="1:20" x14ac:dyDescent="0.3">
      <c r="A67">
        <v>45</v>
      </c>
      <c r="B67" t="s">
        <v>995</v>
      </c>
      <c r="C67" t="s">
        <v>996</v>
      </c>
      <c r="D67" t="s">
        <v>997</v>
      </c>
      <c r="E67" t="s">
        <v>998</v>
      </c>
      <c r="F67" t="s">
        <v>697</v>
      </c>
      <c r="G67" t="s">
        <v>999</v>
      </c>
      <c r="H67" t="s">
        <v>934</v>
      </c>
      <c r="I67" t="s">
        <v>1000</v>
      </c>
      <c r="M67" t="s">
        <v>1644</v>
      </c>
      <c r="N67" t="s">
        <v>1645</v>
      </c>
      <c r="O67">
        <v>2304</v>
      </c>
      <c r="P67" t="s">
        <v>1646</v>
      </c>
      <c r="Q67" t="s">
        <v>1647</v>
      </c>
      <c r="R67" t="s">
        <v>1648</v>
      </c>
      <c r="S67" t="s">
        <v>1649</v>
      </c>
      <c r="T67" t="s">
        <v>1650</v>
      </c>
    </row>
    <row r="68" spans="1:20" x14ac:dyDescent="0.3">
      <c r="A68">
        <v>46</v>
      </c>
      <c r="B68" t="s">
        <v>1001</v>
      </c>
      <c r="C68" t="s">
        <v>1002</v>
      </c>
      <c r="D68" t="s">
        <v>1003</v>
      </c>
      <c r="E68" t="s">
        <v>1004</v>
      </c>
      <c r="F68" t="s">
        <v>697</v>
      </c>
      <c r="G68" t="s">
        <v>1005</v>
      </c>
      <c r="H68" t="s">
        <v>1006</v>
      </c>
      <c r="I68" t="s">
        <v>1007</v>
      </c>
      <c r="M68">
        <v>2616</v>
      </c>
      <c r="N68" t="s">
        <v>1651</v>
      </c>
      <c r="O68">
        <v>9810</v>
      </c>
      <c r="P68" s="8">
        <v>1.0000000000000001E+91</v>
      </c>
      <c r="Q68" t="s">
        <v>1652</v>
      </c>
      <c r="R68">
        <v>4452</v>
      </c>
      <c r="S68" t="s">
        <v>1653</v>
      </c>
      <c r="T68" t="s">
        <v>1654</v>
      </c>
    </row>
    <row r="69" spans="1:20" x14ac:dyDescent="0.3">
      <c r="A69">
        <v>47</v>
      </c>
      <c r="B69" t="s">
        <v>1008</v>
      </c>
      <c r="C69" t="s">
        <v>1009</v>
      </c>
      <c r="D69" t="s">
        <v>1010</v>
      </c>
      <c r="E69" t="s">
        <v>1011</v>
      </c>
      <c r="F69" t="s">
        <v>1012</v>
      </c>
      <c r="G69" t="s">
        <v>1013</v>
      </c>
      <c r="H69" t="s">
        <v>838</v>
      </c>
      <c r="I69" t="s">
        <v>1014</v>
      </c>
      <c r="M69" t="s">
        <v>1655</v>
      </c>
      <c r="N69">
        <v>9190</v>
      </c>
      <c r="O69" t="s">
        <v>1656</v>
      </c>
      <c r="P69" t="s">
        <v>1657</v>
      </c>
      <c r="Q69" s="8">
        <v>7900000000</v>
      </c>
      <c r="R69" s="8">
        <v>62000</v>
      </c>
      <c r="S69" t="s">
        <v>1658</v>
      </c>
      <c r="T69" t="s">
        <v>1659</v>
      </c>
    </row>
    <row r="70" spans="1:20" x14ac:dyDescent="0.3">
      <c r="A70">
        <v>48</v>
      </c>
      <c r="B70" t="s">
        <v>1015</v>
      </c>
      <c r="C70" t="s">
        <v>1016</v>
      </c>
      <c r="D70" t="s">
        <v>1017</v>
      </c>
      <c r="E70" t="s">
        <v>1018</v>
      </c>
      <c r="F70" t="s">
        <v>697</v>
      </c>
      <c r="G70" t="s">
        <v>1019</v>
      </c>
      <c r="H70" t="s">
        <v>1020</v>
      </c>
      <c r="I70" t="s">
        <v>1021</v>
      </c>
      <c r="M70" t="s">
        <v>1660</v>
      </c>
      <c r="N70">
        <v>237</v>
      </c>
      <c r="O70" t="s">
        <v>1661</v>
      </c>
      <c r="P70" t="s">
        <v>1662</v>
      </c>
      <c r="Q70" t="s">
        <v>1663</v>
      </c>
      <c r="R70" t="s">
        <v>1664</v>
      </c>
      <c r="S70">
        <v>4927</v>
      </c>
      <c r="T70" t="s">
        <v>1665</v>
      </c>
    </row>
    <row r="71" spans="1:20" x14ac:dyDescent="0.3">
      <c r="A71">
        <v>49</v>
      </c>
      <c r="B71" t="s">
        <v>1022</v>
      </c>
      <c r="C71" t="s">
        <v>1023</v>
      </c>
      <c r="D71" t="s">
        <v>1024</v>
      </c>
      <c r="E71" t="s">
        <v>1025</v>
      </c>
      <c r="F71" t="s">
        <v>759</v>
      </c>
      <c r="G71" t="s">
        <v>760</v>
      </c>
      <c r="H71" t="s">
        <v>1026</v>
      </c>
      <c r="I71" t="s">
        <v>1027</v>
      </c>
      <c r="M71" t="s">
        <v>1666</v>
      </c>
      <c r="N71" t="s">
        <v>1667</v>
      </c>
      <c r="O71" t="s">
        <v>1668</v>
      </c>
      <c r="P71">
        <v>7427</v>
      </c>
      <c r="Q71" t="s">
        <v>1669</v>
      </c>
      <c r="R71" t="s">
        <v>1670</v>
      </c>
      <c r="S71" t="s">
        <v>1671</v>
      </c>
      <c r="T71" t="s">
        <v>1672</v>
      </c>
    </row>
    <row r="72" spans="1:20" x14ac:dyDescent="0.3">
      <c r="A72">
        <v>50</v>
      </c>
      <c r="B72" t="s">
        <v>1028</v>
      </c>
      <c r="C72" t="s">
        <v>1029</v>
      </c>
      <c r="D72" t="s">
        <v>1030</v>
      </c>
      <c r="E72" t="s">
        <v>1031</v>
      </c>
      <c r="F72" t="s">
        <v>697</v>
      </c>
      <c r="G72" t="s">
        <v>1032</v>
      </c>
      <c r="H72" t="s">
        <v>1020</v>
      </c>
      <c r="I72" t="s">
        <v>1033</v>
      </c>
      <c r="M72" t="s">
        <v>1673</v>
      </c>
      <c r="N72" t="s">
        <v>1674</v>
      </c>
      <c r="O72" s="8">
        <v>9900000000</v>
      </c>
      <c r="P72" t="s">
        <v>1675</v>
      </c>
      <c r="Q72" t="s">
        <v>1676</v>
      </c>
      <c r="R72" t="s">
        <v>1677</v>
      </c>
      <c r="S72" t="s">
        <v>1678</v>
      </c>
      <c r="T72" t="s">
        <v>1679</v>
      </c>
    </row>
    <row r="73" spans="1:20" x14ac:dyDescent="0.3">
      <c r="A73">
        <v>51</v>
      </c>
      <c r="B73" t="s">
        <v>1034</v>
      </c>
      <c r="C73" t="s">
        <v>1035</v>
      </c>
      <c r="D73" t="s">
        <v>1036</v>
      </c>
      <c r="E73" t="s">
        <v>1037</v>
      </c>
      <c r="F73" t="s">
        <v>751</v>
      </c>
      <c r="G73" t="s">
        <v>1038</v>
      </c>
      <c r="H73" t="s">
        <v>722</v>
      </c>
      <c r="I73" t="s">
        <v>1039</v>
      </c>
      <c r="M73" t="s">
        <v>1680</v>
      </c>
      <c r="N73" t="s">
        <v>1681</v>
      </c>
      <c r="O73" t="s">
        <v>1682</v>
      </c>
      <c r="P73" t="s">
        <v>1683</v>
      </c>
      <c r="Q73" t="s">
        <v>1684</v>
      </c>
      <c r="R73" t="s">
        <v>1685</v>
      </c>
      <c r="S73" t="s">
        <v>1686</v>
      </c>
      <c r="T73" t="s">
        <v>1687</v>
      </c>
    </row>
    <row r="74" spans="1:20" x14ac:dyDescent="0.3">
      <c r="A74">
        <v>52</v>
      </c>
      <c r="B74" t="s">
        <v>1040</v>
      </c>
      <c r="C74" t="s">
        <v>1041</v>
      </c>
      <c r="D74" t="s">
        <v>1042</v>
      </c>
      <c r="E74" t="s">
        <v>1043</v>
      </c>
      <c r="F74" t="s">
        <v>697</v>
      </c>
      <c r="G74" t="s">
        <v>705</v>
      </c>
      <c r="H74" t="s">
        <v>873</v>
      </c>
      <c r="I74" t="s">
        <v>1044</v>
      </c>
      <c r="M74" t="s">
        <v>1688</v>
      </c>
      <c r="N74">
        <v>8023</v>
      </c>
      <c r="O74" t="s">
        <v>1689</v>
      </c>
      <c r="P74" t="s">
        <v>1690</v>
      </c>
      <c r="Q74" t="s">
        <v>1691</v>
      </c>
      <c r="R74" t="s">
        <v>1692</v>
      </c>
      <c r="S74">
        <v>3347</v>
      </c>
      <c r="T74" t="s">
        <v>1693</v>
      </c>
    </row>
    <row r="75" spans="1:20" x14ac:dyDescent="0.3">
      <c r="A75">
        <v>53</v>
      </c>
      <c r="B75" t="s">
        <v>1045</v>
      </c>
      <c r="C75" t="s">
        <v>1046</v>
      </c>
      <c r="D75" t="s">
        <v>1047</v>
      </c>
      <c r="E75" t="s">
        <v>1048</v>
      </c>
      <c r="F75" t="s">
        <v>689</v>
      </c>
      <c r="G75" t="s">
        <v>1049</v>
      </c>
      <c r="H75" t="s">
        <v>845</v>
      </c>
      <c r="I75" t="s">
        <v>1050</v>
      </c>
      <c r="M75" t="s">
        <v>1694</v>
      </c>
      <c r="N75" t="s">
        <v>1695</v>
      </c>
      <c r="O75" t="s">
        <v>1696</v>
      </c>
      <c r="P75" t="s">
        <v>1697</v>
      </c>
      <c r="Q75" t="s">
        <v>1698</v>
      </c>
      <c r="R75" t="s">
        <v>1699</v>
      </c>
      <c r="S75" s="8">
        <v>5.9999999999999995E+79</v>
      </c>
      <c r="T75" t="s">
        <v>1700</v>
      </c>
    </row>
    <row r="76" spans="1:20" x14ac:dyDescent="0.3">
      <c r="A76">
        <v>54</v>
      </c>
      <c r="B76" t="s">
        <v>1051</v>
      </c>
      <c r="C76" t="s">
        <v>1052</v>
      </c>
      <c r="D76" t="s">
        <v>1053</v>
      </c>
      <c r="E76" t="s">
        <v>1054</v>
      </c>
      <c r="F76" t="s">
        <v>953</v>
      </c>
      <c r="G76" t="s">
        <v>1055</v>
      </c>
      <c r="H76" t="s">
        <v>899</v>
      </c>
      <c r="I76" t="s">
        <v>1056</v>
      </c>
      <c r="M76" t="s">
        <v>1701</v>
      </c>
      <c r="N76" t="s">
        <v>1702</v>
      </c>
      <c r="O76" t="s">
        <v>1703</v>
      </c>
      <c r="P76" t="s">
        <v>1704</v>
      </c>
      <c r="Q76" t="s">
        <v>1705</v>
      </c>
      <c r="R76" t="s">
        <v>1706</v>
      </c>
      <c r="S76" t="s">
        <v>1707</v>
      </c>
      <c r="T76" t="s">
        <v>1708</v>
      </c>
    </row>
    <row r="77" spans="1:20" x14ac:dyDescent="0.3">
      <c r="A77">
        <v>55</v>
      </c>
      <c r="B77" t="s">
        <v>1057</v>
      </c>
      <c r="C77" t="s">
        <v>1058</v>
      </c>
      <c r="D77" t="s">
        <v>1059</v>
      </c>
      <c r="E77" t="s">
        <v>1060</v>
      </c>
      <c r="F77" t="s">
        <v>1061</v>
      </c>
      <c r="G77" t="s">
        <v>1062</v>
      </c>
      <c r="H77" t="s">
        <v>722</v>
      </c>
      <c r="I77" t="s">
        <v>1063</v>
      </c>
      <c r="M77" t="s">
        <v>1709</v>
      </c>
      <c r="N77">
        <v>4046</v>
      </c>
      <c r="O77" t="s">
        <v>1710</v>
      </c>
      <c r="P77" t="s">
        <v>1711</v>
      </c>
      <c r="Q77" t="s">
        <v>1712</v>
      </c>
      <c r="R77" t="s">
        <v>1713</v>
      </c>
      <c r="S77" t="s">
        <v>1714</v>
      </c>
      <c r="T77" t="s">
        <v>1715</v>
      </c>
    </row>
    <row r="78" spans="1:20" x14ac:dyDescent="0.3">
      <c r="A78">
        <v>56</v>
      </c>
      <c r="B78" t="s">
        <v>739</v>
      </c>
      <c r="C78" t="s">
        <v>1064</v>
      </c>
      <c r="D78" t="s">
        <v>1065</v>
      </c>
      <c r="E78" t="s">
        <v>1066</v>
      </c>
      <c r="F78" t="s">
        <v>697</v>
      </c>
      <c r="G78" t="s">
        <v>697</v>
      </c>
      <c r="H78" t="s">
        <v>691</v>
      </c>
      <c r="I78" t="s">
        <v>1067</v>
      </c>
      <c r="M78" t="s">
        <v>1716</v>
      </c>
      <c r="N78" t="s">
        <v>1717</v>
      </c>
      <c r="O78" t="s">
        <v>1718</v>
      </c>
      <c r="P78">
        <v>5637</v>
      </c>
      <c r="Q78" s="8">
        <v>8000000000</v>
      </c>
      <c r="R78">
        <v>5121</v>
      </c>
      <c r="S78">
        <v>5937</v>
      </c>
      <c r="T78" t="s">
        <v>1719</v>
      </c>
    </row>
    <row r="79" spans="1:20" x14ac:dyDescent="0.3">
      <c r="A79">
        <v>57</v>
      </c>
      <c r="B79" t="s">
        <v>1068</v>
      </c>
      <c r="C79" t="s">
        <v>1069</v>
      </c>
      <c r="D79" t="s">
        <v>1070</v>
      </c>
      <c r="E79" t="s">
        <v>1071</v>
      </c>
      <c r="F79" t="s">
        <v>697</v>
      </c>
      <c r="G79" t="s">
        <v>1072</v>
      </c>
      <c r="H79" t="s">
        <v>796</v>
      </c>
      <c r="I79" t="s">
        <v>1073</v>
      </c>
      <c r="M79" t="s">
        <v>1720</v>
      </c>
      <c r="N79" t="s">
        <v>1721</v>
      </c>
      <c r="O79" t="s">
        <v>1722</v>
      </c>
      <c r="P79" t="s">
        <v>1723</v>
      </c>
      <c r="Q79" t="s">
        <v>1724</v>
      </c>
      <c r="R79">
        <v>9225</v>
      </c>
      <c r="S79" t="s">
        <v>1725</v>
      </c>
      <c r="T79" t="s">
        <v>1726</v>
      </c>
    </row>
    <row r="80" spans="1:20" x14ac:dyDescent="0.3">
      <c r="A80">
        <v>58</v>
      </c>
      <c r="B80" t="s">
        <v>1074</v>
      </c>
      <c r="C80" t="s">
        <v>1075</v>
      </c>
      <c r="D80" t="s">
        <v>1076</v>
      </c>
      <c r="E80" t="s">
        <v>1077</v>
      </c>
      <c r="F80" t="s">
        <v>1061</v>
      </c>
      <c r="G80" t="s">
        <v>760</v>
      </c>
      <c r="H80" t="s">
        <v>860</v>
      </c>
      <c r="I80" t="s">
        <v>1078</v>
      </c>
      <c r="M80" t="s">
        <v>1727</v>
      </c>
      <c r="N80" t="s">
        <v>1728</v>
      </c>
      <c r="O80" t="s">
        <v>1729</v>
      </c>
      <c r="P80" t="s">
        <v>1730</v>
      </c>
      <c r="Q80" t="s">
        <v>1731</v>
      </c>
      <c r="R80" t="s">
        <v>1732</v>
      </c>
      <c r="S80" t="s">
        <v>1733</v>
      </c>
      <c r="T80" t="s">
        <v>1734</v>
      </c>
    </row>
    <row r="81" spans="1:20" x14ac:dyDescent="0.3">
      <c r="A81">
        <v>59</v>
      </c>
      <c r="B81" t="s">
        <v>1079</v>
      </c>
      <c r="C81" t="s">
        <v>1080</v>
      </c>
      <c r="D81" t="s">
        <v>1081</v>
      </c>
      <c r="E81" s="8" t="s">
        <v>1082</v>
      </c>
      <c r="F81" t="s">
        <v>697</v>
      </c>
      <c r="G81" t="s">
        <v>1083</v>
      </c>
      <c r="H81" t="s">
        <v>729</v>
      </c>
      <c r="I81" t="s">
        <v>1084</v>
      </c>
      <c r="M81" t="s">
        <v>1735</v>
      </c>
      <c r="N81" t="s">
        <v>1736</v>
      </c>
      <c r="O81" t="s">
        <v>1737</v>
      </c>
      <c r="P81" t="s">
        <v>1738</v>
      </c>
      <c r="Q81" t="s">
        <v>1739</v>
      </c>
      <c r="R81" t="s">
        <v>1740</v>
      </c>
      <c r="S81" t="s">
        <v>1741</v>
      </c>
      <c r="T81" t="s">
        <v>1742</v>
      </c>
    </row>
    <row r="82" spans="1:20" x14ac:dyDescent="0.3">
      <c r="A82">
        <v>60</v>
      </c>
      <c r="B82" t="s">
        <v>1085</v>
      </c>
      <c r="C82" t="s">
        <v>1086</v>
      </c>
      <c r="D82" t="s">
        <v>1087</v>
      </c>
      <c r="E82" t="s">
        <v>1088</v>
      </c>
      <c r="F82" t="s">
        <v>809</v>
      </c>
      <c r="G82" t="s">
        <v>1089</v>
      </c>
      <c r="H82" t="s">
        <v>796</v>
      </c>
      <c r="I82" t="s">
        <v>1090</v>
      </c>
      <c r="M82" t="s">
        <v>1743</v>
      </c>
      <c r="N82" t="s">
        <v>1744</v>
      </c>
      <c r="O82" t="s">
        <v>1745</v>
      </c>
      <c r="P82" t="s">
        <v>1746</v>
      </c>
      <c r="Q82" t="s">
        <v>1747</v>
      </c>
      <c r="R82">
        <v>4060</v>
      </c>
      <c r="S82" t="s">
        <v>1748</v>
      </c>
      <c r="T82" t="s">
        <v>1749</v>
      </c>
    </row>
    <row r="83" spans="1:20" x14ac:dyDescent="0.3">
      <c r="A83">
        <v>61</v>
      </c>
      <c r="B83" t="s">
        <v>1091</v>
      </c>
      <c r="C83" t="s">
        <v>1092</v>
      </c>
      <c r="D83" t="s">
        <v>1093</v>
      </c>
      <c r="E83" t="s">
        <v>1094</v>
      </c>
      <c r="F83" t="s">
        <v>689</v>
      </c>
      <c r="G83" t="s">
        <v>1095</v>
      </c>
      <c r="H83" t="s">
        <v>1096</v>
      </c>
      <c r="I83" t="s">
        <v>1097</v>
      </c>
      <c r="M83" t="s">
        <v>1750</v>
      </c>
      <c r="N83" t="s">
        <v>1751</v>
      </c>
      <c r="O83" t="s">
        <v>1752</v>
      </c>
      <c r="P83" t="s">
        <v>1753</v>
      </c>
      <c r="Q83" t="s">
        <v>1754</v>
      </c>
      <c r="R83" t="s">
        <v>1755</v>
      </c>
      <c r="S83" t="s">
        <v>1756</v>
      </c>
      <c r="T83" t="s">
        <v>1757</v>
      </c>
    </row>
    <row r="84" spans="1:20" x14ac:dyDescent="0.3">
      <c r="A84">
        <v>62</v>
      </c>
      <c r="B84" t="s">
        <v>1098</v>
      </c>
      <c r="C84" t="s">
        <v>1099</v>
      </c>
      <c r="D84" t="s">
        <v>1100</v>
      </c>
      <c r="E84" t="s">
        <v>1101</v>
      </c>
      <c r="F84" t="s">
        <v>697</v>
      </c>
      <c r="G84" t="s">
        <v>1102</v>
      </c>
      <c r="H84" t="s">
        <v>853</v>
      </c>
      <c r="I84" t="s">
        <v>1103</v>
      </c>
      <c r="M84" t="s">
        <v>1758</v>
      </c>
      <c r="N84" t="s">
        <v>1759</v>
      </c>
      <c r="O84" t="s">
        <v>1760</v>
      </c>
      <c r="P84" t="s">
        <v>1761</v>
      </c>
      <c r="Q84" t="s">
        <v>1762</v>
      </c>
      <c r="R84" t="s">
        <v>1763</v>
      </c>
      <c r="S84" t="s">
        <v>1764</v>
      </c>
      <c r="T84" t="s">
        <v>1765</v>
      </c>
    </row>
    <row r="85" spans="1:20" x14ac:dyDescent="0.3">
      <c r="A85">
        <v>63</v>
      </c>
      <c r="B85" t="s">
        <v>1104</v>
      </c>
      <c r="C85" t="s">
        <v>1105</v>
      </c>
      <c r="D85" t="s">
        <v>1106</v>
      </c>
      <c r="E85" t="s">
        <v>1107</v>
      </c>
      <c r="F85" t="s">
        <v>697</v>
      </c>
      <c r="G85" t="s">
        <v>1108</v>
      </c>
      <c r="H85" t="s">
        <v>1109</v>
      </c>
      <c r="I85" t="s">
        <v>1110</v>
      </c>
      <c r="M85" t="s">
        <v>1766</v>
      </c>
      <c r="N85" t="s">
        <v>1767</v>
      </c>
      <c r="O85" t="s">
        <v>1768</v>
      </c>
      <c r="P85" t="s">
        <v>1769</v>
      </c>
      <c r="Q85">
        <v>4342</v>
      </c>
      <c r="R85" t="s">
        <v>1770</v>
      </c>
      <c r="S85" t="s">
        <v>1590</v>
      </c>
      <c r="T85" t="s">
        <v>1771</v>
      </c>
    </row>
    <row r="86" spans="1:20" x14ac:dyDescent="0.3">
      <c r="A86">
        <v>64</v>
      </c>
      <c r="B86" t="s">
        <v>1111</v>
      </c>
      <c r="C86" t="s">
        <v>1112</v>
      </c>
      <c r="D86" t="s">
        <v>1113</v>
      </c>
      <c r="E86" t="s">
        <v>1114</v>
      </c>
      <c r="F86" t="s">
        <v>1115</v>
      </c>
      <c r="G86" t="s">
        <v>1116</v>
      </c>
      <c r="H86" t="s">
        <v>775</v>
      </c>
      <c r="I86" t="s">
        <v>1117</v>
      </c>
      <c r="M86" t="s">
        <v>1772</v>
      </c>
      <c r="N86" t="s">
        <v>1773</v>
      </c>
      <c r="O86" t="s">
        <v>1468</v>
      </c>
      <c r="P86" t="s">
        <v>1774</v>
      </c>
      <c r="Q86" s="8">
        <v>1.0000000000000001E+54</v>
      </c>
      <c r="R86" t="s">
        <v>1775</v>
      </c>
      <c r="S86" t="s">
        <v>1776</v>
      </c>
      <c r="T86" t="s">
        <v>1777</v>
      </c>
    </row>
    <row r="87" spans="1:20" x14ac:dyDescent="0.3">
      <c r="A87">
        <v>65</v>
      </c>
      <c r="B87" t="s">
        <v>1118</v>
      </c>
      <c r="C87" t="s">
        <v>1119</v>
      </c>
      <c r="D87" t="s">
        <v>1120</v>
      </c>
      <c r="E87" t="s">
        <v>1121</v>
      </c>
      <c r="F87" t="s">
        <v>697</v>
      </c>
      <c r="G87" t="s">
        <v>1122</v>
      </c>
      <c r="H87" t="s">
        <v>699</v>
      </c>
      <c r="I87" t="s">
        <v>1123</v>
      </c>
      <c r="M87" t="s">
        <v>1778</v>
      </c>
      <c r="N87" t="s">
        <v>1779</v>
      </c>
      <c r="O87" t="s">
        <v>1780</v>
      </c>
      <c r="P87">
        <v>9041</v>
      </c>
      <c r="Q87">
        <v>2809</v>
      </c>
      <c r="R87" t="s">
        <v>1781</v>
      </c>
      <c r="S87" t="s">
        <v>1782</v>
      </c>
      <c r="T87" t="s">
        <v>1783</v>
      </c>
    </row>
    <row r="88" spans="1:20" x14ac:dyDescent="0.3">
      <c r="A88">
        <v>66</v>
      </c>
      <c r="B88" t="s">
        <v>1124</v>
      </c>
      <c r="C88" t="s">
        <v>1125</v>
      </c>
      <c r="D88" t="s">
        <v>1126</v>
      </c>
      <c r="E88" t="s">
        <v>1127</v>
      </c>
      <c r="F88" t="s">
        <v>697</v>
      </c>
      <c r="G88" t="s">
        <v>1128</v>
      </c>
      <c r="H88" t="s">
        <v>811</v>
      </c>
      <c r="I88" t="s">
        <v>1129</v>
      </c>
      <c r="M88" s="8">
        <v>89</v>
      </c>
      <c r="N88" t="s">
        <v>1784</v>
      </c>
      <c r="O88" t="s">
        <v>1785</v>
      </c>
      <c r="P88" t="s">
        <v>1786</v>
      </c>
      <c r="Q88" t="s">
        <v>1787</v>
      </c>
      <c r="R88" t="s">
        <v>1788</v>
      </c>
      <c r="S88" t="s">
        <v>1789</v>
      </c>
      <c r="T88" t="s">
        <v>1790</v>
      </c>
    </row>
    <row r="89" spans="1:20" x14ac:dyDescent="0.3">
      <c r="A89">
        <v>67</v>
      </c>
      <c r="B89" t="s">
        <v>1130</v>
      </c>
      <c r="C89" t="s">
        <v>1131</v>
      </c>
      <c r="D89" t="s">
        <v>1132</v>
      </c>
      <c r="E89" t="s">
        <v>1133</v>
      </c>
      <c r="F89" t="s">
        <v>697</v>
      </c>
      <c r="G89" t="s">
        <v>1134</v>
      </c>
      <c r="H89" t="s">
        <v>1135</v>
      </c>
      <c r="I89" t="s">
        <v>1136</v>
      </c>
      <c r="M89" t="s">
        <v>1791</v>
      </c>
      <c r="N89" t="s">
        <v>1792</v>
      </c>
      <c r="O89" t="s">
        <v>1793</v>
      </c>
      <c r="P89">
        <v>2556</v>
      </c>
      <c r="Q89" t="s">
        <v>1794</v>
      </c>
      <c r="R89" t="s">
        <v>1795</v>
      </c>
      <c r="S89" t="s">
        <v>1796</v>
      </c>
      <c r="T89" t="s">
        <v>1797</v>
      </c>
    </row>
    <row r="90" spans="1:20" x14ac:dyDescent="0.3">
      <c r="A90">
        <v>68</v>
      </c>
      <c r="B90" t="s">
        <v>1137</v>
      </c>
      <c r="C90" t="s">
        <v>1138</v>
      </c>
      <c r="D90" t="s">
        <v>1139</v>
      </c>
      <c r="E90" t="s">
        <v>1140</v>
      </c>
      <c r="F90" t="s">
        <v>697</v>
      </c>
      <c r="G90" t="s">
        <v>1141</v>
      </c>
      <c r="H90" t="s">
        <v>1109</v>
      </c>
      <c r="I90" t="s">
        <v>1142</v>
      </c>
      <c r="M90" t="s">
        <v>1798</v>
      </c>
      <c r="N90" t="s">
        <v>1799</v>
      </c>
      <c r="O90">
        <v>9919</v>
      </c>
      <c r="P90" t="s">
        <v>1800</v>
      </c>
      <c r="Q90" t="s">
        <v>1801</v>
      </c>
      <c r="R90" t="s">
        <v>1802</v>
      </c>
      <c r="S90" t="s">
        <v>1803</v>
      </c>
      <c r="T90" t="s">
        <v>1804</v>
      </c>
    </row>
    <row r="91" spans="1:20" x14ac:dyDescent="0.3">
      <c r="A91">
        <v>69</v>
      </c>
      <c r="B91" t="s">
        <v>1143</v>
      </c>
      <c r="C91" t="s">
        <v>1144</v>
      </c>
      <c r="D91" t="s">
        <v>1145</v>
      </c>
      <c r="E91" t="s">
        <v>1146</v>
      </c>
      <c r="F91" t="s">
        <v>1147</v>
      </c>
      <c r="G91" t="s">
        <v>1148</v>
      </c>
      <c r="H91" t="s">
        <v>947</v>
      </c>
      <c r="I91" t="s">
        <v>1149</v>
      </c>
      <c r="M91" t="s">
        <v>1805</v>
      </c>
      <c r="N91">
        <v>4504</v>
      </c>
      <c r="O91" t="s">
        <v>1806</v>
      </c>
      <c r="P91" t="s">
        <v>1807</v>
      </c>
      <c r="Q91" t="s">
        <v>1808</v>
      </c>
      <c r="R91" t="s">
        <v>1809</v>
      </c>
      <c r="S91" s="8">
        <v>40</v>
      </c>
      <c r="T91" t="s">
        <v>1810</v>
      </c>
    </row>
    <row r="92" spans="1:20" x14ac:dyDescent="0.3">
      <c r="A92">
        <v>70</v>
      </c>
      <c r="B92" t="s">
        <v>1150</v>
      </c>
      <c r="C92" t="s">
        <v>1151</v>
      </c>
      <c r="D92" t="s">
        <v>1152</v>
      </c>
      <c r="E92" t="s">
        <v>1153</v>
      </c>
      <c r="F92" t="s">
        <v>851</v>
      </c>
      <c r="G92" t="s">
        <v>1154</v>
      </c>
      <c r="H92" t="s">
        <v>729</v>
      </c>
      <c r="I92" t="s">
        <v>1155</v>
      </c>
      <c r="M92" t="s">
        <v>1811</v>
      </c>
      <c r="N92" t="s">
        <v>1812</v>
      </c>
      <c r="O92" t="s">
        <v>1813</v>
      </c>
      <c r="P92" t="s">
        <v>1814</v>
      </c>
      <c r="Q92" t="s">
        <v>1815</v>
      </c>
      <c r="R92" t="s">
        <v>1816</v>
      </c>
      <c r="S92" t="s">
        <v>1817</v>
      </c>
      <c r="T92" t="s">
        <v>1818</v>
      </c>
    </row>
    <row r="93" spans="1:20" x14ac:dyDescent="0.3">
      <c r="A93">
        <v>71</v>
      </c>
      <c r="B93" t="s">
        <v>1156</v>
      </c>
      <c r="C93" t="s">
        <v>1157</v>
      </c>
      <c r="D93" t="s">
        <v>1158</v>
      </c>
      <c r="E93" t="s">
        <v>1159</v>
      </c>
      <c r="F93" t="s">
        <v>697</v>
      </c>
      <c r="G93" t="s">
        <v>1160</v>
      </c>
      <c r="H93" t="s">
        <v>796</v>
      </c>
      <c r="I93" t="s">
        <v>1161</v>
      </c>
      <c r="M93" t="s">
        <v>1819</v>
      </c>
      <c r="N93" s="8">
        <v>3200000</v>
      </c>
      <c r="O93" t="s">
        <v>1820</v>
      </c>
      <c r="P93" t="s">
        <v>1821</v>
      </c>
      <c r="Q93">
        <v>766</v>
      </c>
      <c r="R93" t="s">
        <v>1822</v>
      </c>
      <c r="S93" t="s">
        <v>1823</v>
      </c>
      <c r="T93" t="s">
        <v>1824</v>
      </c>
    </row>
    <row r="94" spans="1:20" x14ac:dyDescent="0.3">
      <c r="A94">
        <v>72</v>
      </c>
      <c r="B94" t="s">
        <v>1162</v>
      </c>
      <c r="C94" t="s">
        <v>1163</v>
      </c>
      <c r="D94" t="s">
        <v>1164</v>
      </c>
      <c r="E94" t="s">
        <v>1165</v>
      </c>
      <c r="F94" t="s">
        <v>697</v>
      </c>
      <c r="G94" t="s">
        <v>1166</v>
      </c>
      <c r="H94" t="s">
        <v>845</v>
      </c>
      <c r="I94" t="s">
        <v>1167</v>
      </c>
      <c r="M94" t="s">
        <v>1825</v>
      </c>
      <c r="N94" t="s">
        <v>1826</v>
      </c>
      <c r="O94" t="s">
        <v>1827</v>
      </c>
      <c r="P94" t="s">
        <v>1828</v>
      </c>
      <c r="Q94" t="s">
        <v>1829</v>
      </c>
      <c r="R94" t="s">
        <v>1830</v>
      </c>
      <c r="S94">
        <v>9604</v>
      </c>
      <c r="T94" t="s">
        <v>1831</v>
      </c>
    </row>
    <row r="95" spans="1:20" x14ac:dyDescent="0.3">
      <c r="A95">
        <v>73</v>
      </c>
      <c r="B95" t="s">
        <v>1168</v>
      </c>
      <c r="C95" t="s">
        <v>1169</v>
      </c>
      <c r="D95" t="s">
        <v>1170</v>
      </c>
      <c r="E95" t="s">
        <v>1171</v>
      </c>
      <c r="F95" t="s">
        <v>697</v>
      </c>
      <c r="G95" t="s">
        <v>1172</v>
      </c>
      <c r="H95" t="s">
        <v>1173</v>
      </c>
      <c r="I95" t="s">
        <v>1174</v>
      </c>
      <c r="M95" t="s">
        <v>1832</v>
      </c>
      <c r="N95">
        <v>7277</v>
      </c>
      <c r="O95" t="s">
        <v>1833</v>
      </c>
      <c r="P95" t="s">
        <v>1834</v>
      </c>
      <c r="Q95" t="s">
        <v>1835</v>
      </c>
      <c r="R95" t="s">
        <v>1836</v>
      </c>
      <c r="S95" t="s">
        <v>1837</v>
      </c>
      <c r="T95" t="s">
        <v>1838</v>
      </c>
    </row>
    <row r="96" spans="1:20" x14ac:dyDescent="0.3">
      <c r="A96">
        <v>74</v>
      </c>
      <c r="B96" t="s">
        <v>1175</v>
      </c>
      <c r="C96" t="s">
        <v>1176</v>
      </c>
      <c r="D96" t="s">
        <v>1177</v>
      </c>
      <c r="E96" t="s">
        <v>1178</v>
      </c>
      <c r="F96" t="s">
        <v>953</v>
      </c>
      <c r="G96" t="s">
        <v>954</v>
      </c>
      <c r="H96" t="s">
        <v>1179</v>
      </c>
      <c r="I96" t="s">
        <v>1180</v>
      </c>
      <c r="M96" t="s">
        <v>1839</v>
      </c>
      <c r="N96" t="s">
        <v>1840</v>
      </c>
      <c r="O96" t="s">
        <v>1841</v>
      </c>
      <c r="P96" t="s">
        <v>1842</v>
      </c>
      <c r="Q96" t="s">
        <v>1843</v>
      </c>
      <c r="R96" t="s">
        <v>1844</v>
      </c>
      <c r="S96">
        <v>3473</v>
      </c>
      <c r="T96" t="s">
        <v>1845</v>
      </c>
    </row>
    <row r="97" spans="1:20" x14ac:dyDescent="0.3">
      <c r="A97">
        <v>75</v>
      </c>
      <c r="B97" t="s">
        <v>1181</v>
      </c>
      <c r="C97" t="s">
        <v>1182</v>
      </c>
      <c r="D97" t="s">
        <v>1183</v>
      </c>
      <c r="E97" t="s">
        <v>1184</v>
      </c>
      <c r="F97" t="s">
        <v>697</v>
      </c>
      <c r="G97" t="s">
        <v>1185</v>
      </c>
      <c r="H97" t="s">
        <v>920</v>
      </c>
      <c r="I97" t="s">
        <v>1186</v>
      </c>
      <c r="M97" t="s">
        <v>1712</v>
      </c>
      <c r="N97" t="s">
        <v>1846</v>
      </c>
      <c r="O97" t="s">
        <v>1847</v>
      </c>
      <c r="P97" t="s">
        <v>1848</v>
      </c>
      <c r="Q97" t="s">
        <v>1849</v>
      </c>
      <c r="R97" t="s">
        <v>1850</v>
      </c>
      <c r="S97" t="s">
        <v>1851</v>
      </c>
      <c r="T97" t="s">
        <v>1852</v>
      </c>
    </row>
    <row r="98" spans="1:20" x14ac:dyDescent="0.3">
      <c r="A98">
        <v>76</v>
      </c>
      <c r="B98" t="s">
        <v>1187</v>
      </c>
      <c r="C98" t="s">
        <v>1188</v>
      </c>
      <c r="D98" t="s">
        <v>1189</v>
      </c>
      <c r="E98" t="s">
        <v>1190</v>
      </c>
      <c r="F98" t="s">
        <v>743</v>
      </c>
      <c r="G98" t="s">
        <v>1191</v>
      </c>
      <c r="H98" t="s">
        <v>913</v>
      </c>
      <c r="I98" t="s">
        <v>1192</v>
      </c>
      <c r="M98" t="s">
        <v>1853</v>
      </c>
      <c r="N98" t="s">
        <v>1854</v>
      </c>
      <c r="O98" t="s">
        <v>1855</v>
      </c>
      <c r="P98" t="s">
        <v>1856</v>
      </c>
      <c r="Q98" t="s">
        <v>1857</v>
      </c>
      <c r="R98" t="s">
        <v>1858</v>
      </c>
      <c r="S98" t="s">
        <v>1859</v>
      </c>
      <c r="T98" t="s">
        <v>1860</v>
      </c>
    </row>
    <row r="99" spans="1:20" x14ac:dyDescent="0.3">
      <c r="A99">
        <v>77</v>
      </c>
      <c r="B99" t="s">
        <v>1193</v>
      </c>
      <c r="C99" t="s">
        <v>1194</v>
      </c>
      <c r="D99" t="s">
        <v>1195</v>
      </c>
      <c r="E99" t="s">
        <v>1196</v>
      </c>
      <c r="F99" t="s">
        <v>697</v>
      </c>
      <c r="G99" t="s">
        <v>823</v>
      </c>
      <c r="H99" t="s">
        <v>753</v>
      </c>
      <c r="I99" t="s">
        <v>1197</v>
      </c>
      <c r="M99" s="8">
        <v>6.9999999999999995E+99</v>
      </c>
      <c r="N99" t="s">
        <v>1861</v>
      </c>
      <c r="O99">
        <v>3002</v>
      </c>
      <c r="P99">
        <v>250</v>
      </c>
      <c r="Q99" t="s">
        <v>1862</v>
      </c>
      <c r="R99" t="s">
        <v>1863</v>
      </c>
      <c r="S99" t="s">
        <v>1864</v>
      </c>
      <c r="T99" t="s">
        <v>1865</v>
      </c>
    </row>
    <row r="100" spans="1:20" x14ac:dyDescent="0.3">
      <c r="A100">
        <v>78</v>
      </c>
      <c r="B100" t="s">
        <v>1198</v>
      </c>
      <c r="C100" t="s">
        <v>1199</v>
      </c>
      <c r="D100" t="s">
        <v>1200</v>
      </c>
      <c r="E100" t="s">
        <v>1201</v>
      </c>
      <c r="F100" t="s">
        <v>1202</v>
      </c>
      <c r="G100" t="s">
        <v>1203</v>
      </c>
      <c r="H100" t="s">
        <v>753</v>
      </c>
      <c r="I100" t="s">
        <v>1204</v>
      </c>
      <c r="M100" t="s">
        <v>1866</v>
      </c>
      <c r="N100" t="s">
        <v>1867</v>
      </c>
      <c r="O100">
        <v>4220</v>
      </c>
      <c r="P100" t="s">
        <v>1868</v>
      </c>
      <c r="Q100" t="s">
        <v>1869</v>
      </c>
      <c r="R100" t="s">
        <v>1870</v>
      </c>
      <c r="S100" t="s">
        <v>1871</v>
      </c>
      <c r="T100" t="s">
        <v>1872</v>
      </c>
    </row>
    <row r="101" spans="1:20" x14ac:dyDescent="0.3">
      <c r="A101">
        <v>79</v>
      </c>
      <c r="B101" t="s">
        <v>1205</v>
      </c>
      <c r="C101" t="s">
        <v>1206</v>
      </c>
      <c r="D101" t="s">
        <v>1207</v>
      </c>
      <c r="E101" t="s">
        <v>1208</v>
      </c>
      <c r="F101" t="s">
        <v>697</v>
      </c>
      <c r="G101" t="s">
        <v>1209</v>
      </c>
      <c r="H101" t="s">
        <v>699</v>
      </c>
      <c r="I101" t="s">
        <v>1210</v>
      </c>
      <c r="M101" t="s">
        <v>1873</v>
      </c>
      <c r="N101" t="s">
        <v>1874</v>
      </c>
      <c r="O101" t="s">
        <v>1875</v>
      </c>
      <c r="P101" t="s">
        <v>1876</v>
      </c>
      <c r="Q101">
        <v>9194</v>
      </c>
      <c r="R101" t="s">
        <v>1877</v>
      </c>
      <c r="S101" t="s">
        <v>1878</v>
      </c>
      <c r="T101" t="s">
        <v>1879</v>
      </c>
    </row>
    <row r="102" spans="1:20" x14ac:dyDescent="0.3">
      <c r="A102">
        <v>80</v>
      </c>
      <c r="B102" t="s">
        <v>1211</v>
      </c>
      <c r="C102" t="s">
        <v>1212</v>
      </c>
      <c r="D102" t="s">
        <v>1213</v>
      </c>
      <c r="E102" t="s">
        <v>1214</v>
      </c>
      <c r="F102" t="s">
        <v>809</v>
      </c>
      <c r="G102" t="s">
        <v>1215</v>
      </c>
      <c r="H102" t="s">
        <v>1216</v>
      </c>
      <c r="I102" t="s">
        <v>1217</v>
      </c>
      <c r="J102" t="s">
        <v>1218</v>
      </c>
      <c r="M102" t="s">
        <v>1880</v>
      </c>
      <c r="N102" t="s">
        <v>1881</v>
      </c>
      <c r="O102" t="s">
        <v>1882</v>
      </c>
      <c r="P102" t="s">
        <v>1883</v>
      </c>
      <c r="Q102" t="s">
        <v>1884</v>
      </c>
      <c r="R102" t="s">
        <v>1885</v>
      </c>
      <c r="S102">
        <v>6111</v>
      </c>
      <c r="T102" t="s">
        <v>1886</v>
      </c>
    </row>
    <row r="103" spans="1:20" x14ac:dyDescent="0.3">
      <c r="A103">
        <v>81</v>
      </c>
      <c r="B103" t="s">
        <v>1219</v>
      </c>
      <c r="C103" t="s">
        <v>1220</v>
      </c>
      <c r="D103" t="s">
        <v>1221</v>
      </c>
      <c r="E103" t="s">
        <v>1222</v>
      </c>
      <c r="F103" t="s">
        <v>751</v>
      </c>
      <c r="G103" t="s">
        <v>1223</v>
      </c>
      <c r="H103" t="s">
        <v>775</v>
      </c>
      <c r="I103" t="s">
        <v>1224</v>
      </c>
      <c r="M103">
        <v>6225</v>
      </c>
      <c r="N103" t="s">
        <v>1887</v>
      </c>
      <c r="O103">
        <v>6007</v>
      </c>
      <c r="P103" t="s">
        <v>1888</v>
      </c>
      <c r="Q103" t="s">
        <v>1889</v>
      </c>
      <c r="R103" t="s">
        <v>1890</v>
      </c>
      <c r="S103" t="s">
        <v>1891</v>
      </c>
      <c r="T103" t="s">
        <v>1892</v>
      </c>
    </row>
    <row r="104" spans="1:20" x14ac:dyDescent="0.3">
      <c r="A104">
        <v>82</v>
      </c>
      <c r="B104" t="s">
        <v>1225</v>
      </c>
      <c r="C104" t="s">
        <v>1226</v>
      </c>
      <c r="D104" t="s">
        <v>1227</v>
      </c>
      <c r="E104" t="s">
        <v>1228</v>
      </c>
      <c r="F104" t="s">
        <v>1229</v>
      </c>
      <c r="G104" t="s">
        <v>1230</v>
      </c>
      <c r="H104" t="s">
        <v>1231</v>
      </c>
      <c r="I104" t="s">
        <v>789</v>
      </c>
      <c r="J104" t="s">
        <v>1232</v>
      </c>
      <c r="M104" t="s">
        <v>1893</v>
      </c>
      <c r="N104" t="s">
        <v>1894</v>
      </c>
      <c r="O104" t="s">
        <v>1895</v>
      </c>
      <c r="P104" t="s">
        <v>1896</v>
      </c>
      <c r="Q104">
        <v>7032</v>
      </c>
      <c r="R104" t="s">
        <v>1897</v>
      </c>
      <c r="S104" t="s">
        <v>1898</v>
      </c>
      <c r="T104" t="s">
        <v>1899</v>
      </c>
    </row>
    <row r="105" spans="1:20" x14ac:dyDescent="0.3">
      <c r="A105">
        <v>83</v>
      </c>
      <c r="B105" t="s">
        <v>1233</v>
      </c>
      <c r="C105" t="s">
        <v>1234</v>
      </c>
      <c r="D105" t="s">
        <v>1235</v>
      </c>
      <c r="E105" t="s">
        <v>1236</v>
      </c>
      <c r="F105" t="s">
        <v>689</v>
      </c>
      <c r="G105" t="s">
        <v>1237</v>
      </c>
      <c r="H105" t="s">
        <v>1238</v>
      </c>
      <c r="I105" t="s">
        <v>1239</v>
      </c>
      <c r="M105" t="s">
        <v>1900</v>
      </c>
      <c r="N105" t="s">
        <v>1901</v>
      </c>
      <c r="O105" t="s">
        <v>1902</v>
      </c>
      <c r="P105" t="s">
        <v>1903</v>
      </c>
      <c r="Q105" t="s">
        <v>1904</v>
      </c>
      <c r="R105">
        <v>8399</v>
      </c>
      <c r="S105" t="s">
        <v>1905</v>
      </c>
      <c r="T105" t="s">
        <v>1906</v>
      </c>
    </row>
    <row r="106" spans="1:20" x14ac:dyDescent="0.3">
      <c r="A106">
        <v>84</v>
      </c>
      <c r="B106" t="s">
        <v>1240</v>
      </c>
      <c r="C106" t="s">
        <v>1241</v>
      </c>
      <c r="D106" t="s">
        <v>1242</v>
      </c>
      <c r="E106" t="s">
        <v>1243</v>
      </c>
      <c r="F106" t="s">
        <v>697</v>
      </c>
      <c r="G106" t="s">
        <v>1244</v>
      </c>
      <c r="H106" t="s">
        <v>987</v>
      </c>
      <c r="I106" t="s">
        <v>1245</v>
      </c>
      <c r="M106">
        <v>6112</v>
      </c>
      <c r="N106" t="s">
        <v>1907</v>
      </c>
      <c r="O106" t="s">
        <v>1908</v>
      </c>
      <c r="P106" t="s">
        <v>1909</v>
      </c>
      <c r="Q106" t="s">
        <v>1910</v>
      </c>
      <c r="R106" t="s">
        <v>1911</v>
      </c>
      <c r="S106" t="s">
        <v>1912</v>
      </c>
      <c r="T106" t="s">
        <v>1913</v>
      </c>
    </row>
    <row r="107" spans="1:20" x14ac:dyDescent="0.3">
      <c r="A107">
        <v>85</v>
      </c>
      <c r="B107" t="s">
        <v>1246</v>
      </c>
      <c r="C107" t="s">
        <v>1247</v>
      </c>
      <c r="D107" t="s">
        <v>1248</v>
      </c>
      <c r="E107" t="s">
        <v>1249</v>
      </c>
      <c r="F107" t="s">
        <v>697</v>
      </c>
      <c r="G107" t="s">
        <v>866</v>
      </c>
      <c r="H107" t="s">
        <v>1250</v>
      </c>
      <c r="I107" t="s">
        <v>1251</v>
      </c>
      <c r="M107" t="s">
        <v>1914</v>
      </c>
      <c r="N107" t="s">
        <v>1915</v>
      </c>
      <c r="O107" t="s">
        <v>1916</v>
      </c>
      <c r="P107" t="s">
        <v>1917</v>
      </c>
      <c r="Q107" t="s">
        <v>1918</v>
      </c>
      <c r="R107" t="s">
        <v>1919</v>
      </c>
      <c r="S107" t="s">
        <v>1920</v>
      </c>
      <c r="T107" t="s">
        <v>1921</v>
      </c>
    </row>
    <row r="108" spans="1:20" x14ac:dyDescent="0.3">
      <c r="A108">
        <v>86</v>
      </c>
      <c r="B108" t="s">
        <v>1252</v>
      </c>
      <c r="C108" t="s">
        <v>1253</v>
      </c>
      <c r="D108" t="s">
        <v>1254</v>
      </c>
      <c r="E108" t="s">
        <v>1255</v>
      </c>
      <c r="F108" t="s">
        <v>697</v>
      </c>
      <c r="G108" t="s">
        <v>1256</v>
      </c>
      <c r="H108" t="s">
        <v>1026</v>
      </c>
      <c r="I108" t="s">
        <v>1257</v>
      </c>
      <c r="M108" t="s">
        <v>1922</v>
      </c>
      <c r="N108" t="s">
        <v>1923</v>
      </c>
      <c r="O108" t="s">
        <v>1924</v>
      </c>
      <c r="P108" t="s">
        <v>1925</v>
      </c>
      <c r="Q108" t="s">
        <v>1926</v>
      </c>
      <c r="R108" t="s">
        <v>1927</v>
      </c>
      <c r="S108" t="s">
        <v>1928</v>
      </c>
      <c r="T108" t="s">
        <v>1929</v>
      </c>
    </row>
    <row r="109" spans="1:20" x14ac:dyDescent="0.3">
      <c r="A109">
        <v>87</v>
      </c>
      <c r="B109" t="s">
        <v>1258</v>
      </c>
      <c r="C109" t="s">
        <v>1259</v>
      </c>
      <c r="D109" t="s">
        <v>1260</v>
      </c>
      <c r="E109" t="s">
        <v>1261</v>
      </c>
      <c r="F109" t="s">
        <v>809</v>
      </c>
      <c r="G109" t="s">
        <v>1262</v>
      </c>
      <c r="H109" t="s">
        <v>1263</v>
      </c>
      <c r="I109" t="s">
        <v>1264</v>
      </c>
      <c r="J109" t="s">
        <v>1265</v>
      </c>
      <c r="M109" t="s">
        <v>1930</v>
      </c>
      <c r="N109" t="s">
        <v>1931</v>
      </c>
      <c r="O109" t="s">
        <v>1932</v>
      </c>
      <c r="P109">
        <v>527</v>
      </c>
      <c r="Q109" t="s">
        <v>1933</v>
      </c>
      <c r="R109" t="s">
        <v>1934</v>
      </c>
      <c r="S109" t="s">
        <v>1935</v>
      </c>
      <c r="T109" t="s">
        <v>1936</v>
      </c>
    </row>
    <row r="110" spans="1:20" x14ac:dyDescent="0.3">
      <c r="A110">
        <v>88</v>
      </c>
      <c r="B110" t="s">
        <v>1266</v>
      </c>
      <c r="C110" t="s">
        <v>1267</v>
      </c>
      <c r="D110" t="s">
        <v>1268</v>
      </c>
      <c r="E110" t="s">
        <v>1269</v>
      </c>
      <c r="F110" t="s">
        <v>697</v>
      </c>
      <c r="G110" t="s">
        <v>1270</v>
      </c>
      <c r="H110" t="s">
        <v>714</v>
      </c>
      <c r="I110" t="s">
        <v>1271</v>
      </c>
      <c r="M110" t="s">
        <v>1937</v>
      </c>
      <c r="N110" t="s">
        <v>1938</v>
      </c>
      <c r="O110" t="s">
        <v>1939</v>
      </c>
      <c r="P110" t="s">
        <v>1940</v>
      </c>
      <c r="Q110" t="s">
        <v>1941</v>
      </c>
      <c r="R110" t="s">
        <v>1942</v>
      </c>
      <c r="S110" t="s">
        <v>1943</v>
      </c>
      <c r="T110" t="s">
        <v>1944</v>
      </c>
    </row>
    <row r="111" spans="1:20" x14ac:dyDescent="0.3">
      <c r="A111">
        <v>89</v>
      </c>
      <c r="B111" t="s">
        <v>1272</v>
      </c>
      <c r="C111" t="s">
        <v>1273</v>
      </c>
      <c r="D111" t="s">
        <v>1274</v>
      </c>
      <c r="E111" t="s">
        <v>1275</v>
      </c>
      <c r="F111" t="s">
        <v>1202</v>
      </c>
      <c r="G111" t="s">
        <v>1203</v>
      </c>
      <c r="H111" t="s">
        <v>1276</v>
      </c>
      <c r="I111" t="s">
        <v>1277</v>
      </c>
      <c r="M111" t="s">
        <v>1945</v>
      </c>
      <c r="N111" t="s">
        <v>1532</v>
      </c>
      <c r="O111">
        <v>4174</v>
      </c>
      <c r="P111" t="s">
        <v>1946</v>
      </c>
      <c r="Q111" t="s">
        <v>1947</v>
      </c>
      <c r="R111" t="s">
        <v>1948</v>
      </c>
      <c r="S111" t="s">
        <v>1949</v>
      </c>
      <c r="T111" t="s">
        <v>1950</v>
      </c>
    </row>
    <row r="112" spans="1:20" x14ac:dyDescent="0.3">
      <c r="A112">
        <v>90</v>
      </c>
      <c r="B112" t="s">
        <v>1278</v>
      </c>
      <c r="C112" t="s">
        <v>1279</v>
      </c>
      <c r="D112" t="s">
        <v>1280</v>
      </c>
      <c r="E112" t="s">
        <v>1281</v>
      </c>
      <c r="F112" t="s">
        <v>697</v>
      </c>
      <c r="G112" t="s">
        <v>1282</v>
      </c>
      <c r="H112" t="s">
        <v>789</v>
      </c>
      <c r="I112" t="s">
        <v>1283</v>
      </c>
      <c r="M112" t="s">
        <v>1951</v>
      </c>
      <c r="N112" t="s">
        <v>1952</v>
      </c>
      <c r="O112" t="s">
        <v>1953</v>
      </c>
      <c r="P112">
        <v>4518</v>
      </c>
      <c r="Q112" t="s">
        <v>1954</v>
      </c>
      <c r="R112" t="s">
        <v>1955</v>
      </c>
      <c r="S112" t="s">
        <v>1956</v>
      </c>
      <c r="T112" t="s">
        <v>1957</v>
      </c>
    </row>
    <row r="113" spans="1:20" x14ac:dyDescent="0.3">
      <c r="A113">
        <v>91</v>
      </c>
      <c r="B113" t="s">
        <v>1284</v>
      </c>
      <c r="C113" t="s">
        <v>1285</v>
      </c>
      <c r="D113" t="s">
        <v>1286</v>
      </c>
      <c r="E113" t="s">
        <v>1287</v>
      </c>
      <c r="F113" t="s">
        <v>697</v>
      </c>
      <c r="G113" t="s">
        <v>1288</v>
      </c>
      <c r="H113" t="s">
        <v>1289</v>
      </c>
      <c r="I113" t="s">
        <v>1290</v>
      </c>
      <c r="M113">
        <v>7778</v>
      </c>
      <c r="N113" t="s">
        <v>1958</v>
      </c>
      <c r="O113">
        <v>7088</v>
      </c>
      <c r="P113" s="8">
        <v>8.9999999999999996E+58</v>
      </c>
      <c r="Q113" s="8">
        <v>1.9999999999999999E+59</v>
      </c>
      <c r="R113">
        <v>8219</v>
      </c>
      <c r="S113" t="s">
        <v>1959</v>
      </c>
      <c r="T113" t="s">
        <v>1960</v>
      </c>
    </row>
    <row r="114" spans="1:20" x14ac:dyDescent="0.3">
      <c r="A114">
        <v>92</v>
      </c>
      <c r="B114" t="s">
        <v>1291</v>
      </c>
      <c r="C114" t="s">
        <v>1292</v>
      </c>
      <c r="D114" t="s">
        <v>1293</v>
      </c>
      <c r="E114" t="s">
        <v>1294</v>
      </c>
      <c r="F114" t="s">
        <v>751</v>
      </c>
      <c r="G114" t="s">
        <v>781</v>
      </c>
      <c r="H114" t="s">
        <v>1238</v>
      </c>
      <c r="I114" t="s">
        <v>1295</v>
      </c>
      <c r="M114" t="s">
        <v>1961</v>
      </c>
      <c r="N114" t="s">
        <v>1962</v>
      </c>
      <c r="O114" t="s">
        <v>1963</v>
      </c>
      <c r="P114" t="s">
        <v>1964</v>
      </c>
      <c r="Q114" t="s">
        <v>1965</v>
      </c>
      <c r="R114" t="s">
        <v>1966</v>
      </c>
      <c r="S114" t="s">
        <v>1967</v>
      </c>
      <c r="T114" t="s">
        <v>1968</v>
      </c>
    </row>
    <row r="115" spans="1:20" x14ac:dyDescent="0.3">
      <c r="A115">
        <v>93</v>
      </c>
      <c r="B115" t="s">
        <v>1296</v>
      </c>
      <c r="C115" t="s">
        <v>1297</v>
      </c>
      <c r="D115" t="s">
        <v>1298</v>
      </c>
      <c r="E115" t="s">
        <v>1299</v>
      </c>
      <c r="F115" t="s">
        <v>1229</v>
      </c>
      <c r="G115" t="s">
        <v>1230</v>
      </c>
      <c r="H115" t="s">
        <v>1300</v>
      </c>
      <c r="I115" t="s">
        <v>1301</v>
      </c>
      <c r="J115" t="s">
        <v>1302</v>
      </c>
      <c r="M115" t="s">
        <v>1969</v>
      </c>
      <c r="N115" t="s">
        <v>1970</v>
      </c>
      <c r="O115">
        <v>9816</v>
      </c>
      <c r="P115" t="s">
        <v>1971</v>
      </c>
      <c r="Q115" t="s">
        <v>1972</v>
      </c>
      <c r="R115" t="s">
        <v>1973</v>
      </c>
      <c r="S115" t="s">
        <v>1974</v>
      </c>
      <c r="T115" t="s">
        <v>1975</v>
      </c>
    </row>
    <row r="116" spans="1:20" x14ac:dyDescent="0.3">
      <c r="A116">
        <v>94</v>
      </c>
      <c r="B116" t="s">
        <v>1303</v>
      </c>
      <c r="C116" t="s">
        <v>1304</v>
      </c>
      <c r="D116" t="s">
        <v>1305</v>
      </c>
      <c r="E116" t="s">
        <v>1306</v>
      </c>
      <c r="F116" t="s">
        <v>697</v>
      </c>
      <c r="G116" t="s">
        <v>1307</v>
      </c>
      <c r="H116" t="s">
        <v>906</v>
      </c>
      <c r="I116" t="s">
        <v>1308</v>
      </c>
      <c r="M116">
        <v>3391</v>
      </c>
      <c r="N116" t="s">
        <v>1976</v>
      </c>
      <c r="O116" t="s">
        <v>1977</v>
      </c>
      <c r="P116" t="s">
        <v>1978</v>
      </c>
      <c r="Q116" t="s">
        <v>1979</v>
      </c>
      <c r="R116" t="s">
        <v>1980</v>
      </c>
      <c r="S116" t="s">
        <v>1981</v>
      </c>
      <c r="T116" t="s">
        <v>1982</v>
      </c>
    </row>
    <row r="117" spans="1:20" x14ac:dyDescent="0.3">
      <c r="A117">
        <v>95</v>
      </c>
      <c r="B117" t="s">
        <v>1309</v>
      </c>
      <c r="C117" t="s">
        <v>1310</v>
      </c>
      <c r="D117" t="s">
        <v>1311</v>
      </c>
      <c r="E117" t="s">
        <v>1312</v>
      </c>
      <c r="F117" t="s">
        <v>809</v>
      </c>
      <c r="G117" t="s">
        <v>1230</v>
      </c>
      <c r="H117" t="s">
        <v>1313</v>
      </c>
      <c r="I117" t="s">
        <v>1314</v>
      </c>
      <c r="J117" t="s">
        <v>1315</v>
      </c>
      <c r="M117">
        <v>7561</v>
      </c>
      <c r="N117">
        <v>2873</v>
      </c>
      <c r="O117" t="s">
        <v>1983</v>
      </c>
      <c r="P117" t="s">
        <v>1984</v>
      </c>
      <c r="Q117">
        <v>3801</v>
      </c>
      <c r="R117" t="s">
        <v>1985</v>
      </c>
      <c r="S117">
        <v>2497</v>
      </c>
      <c r="T117" t="s">
        <v>1986</v>
      </c>
    </row>
    <row r="118" spans="1:20" x14ac:dyDescent="0.3">
      <c r="A118">
        <v>96</v>
      </c>
      <c r="B118" t="s">
        <v>1316</v>
      </c>
      <c r="C118" t="s">
        <v>1317</v>
      </c>
      <c r="D118" t="s">
        <v>1318</v>
      </c>
      <c r="E118" t="s">
        <v>1319</v>
      </c>
      <c r="F118" t="s">
        <v>953</v>
      </c>
      <c r="G118" t="s">
        <v>1320</v>
      </c>
      <c r="H118" t="s">
        <v>987</v>
      </c>
      <c r="I118" t="s">
        <v>1321</v>
      </c>
      <c r="M118" t="s">
        <v>1987</v>
      </c>
      <c r="N118" t="s">
        <v>1988</v>
      </c>
      <c r="O118" t="s">
        <v>1989</v>
      </c>
      <c r="P118" t="s">
        <v>1990</v>
      </c>
      <c r="Q118" t="s">
        <v>1991</v>
      </c>
      <c r="R118" t="s">
        <v>1992</v>
      </c>
      <c r="S118" t="s">
        <v>1993</v>
      </c>
      <c r="T118" t="s">
        <v>1994</v>
      </c>
    </row>
    <row r="119" spans="1:20" x14ac:dyDescent="0.3">
      <c r="A119">
        <v>97</v>
      </c>
      <c r="B119" t="s">
        <v>1322</v>
      </c>
      <c r="C119" t="s">
        <v>1323</v>
      </c>
      <c r="D119" t="s">
        <v>1324</v>
      </c>
      <c r="E119" t="s">
        <v>1325</v>
      </c>
      <c r="F119" t="s">
        <v>697</v>
      </c>
      <c r="G119" t="s">
        <v>1102</v>
      </c>
      <c r="H119" t="s">
        <v>1096</v>
      </c>
      <c r="I119" t="s">
        <v>1326</v>
      </c>
      <c r="M119" t="s">
        <v>1995</v>
      </c>
      <c r="N119" t="s">
        <v>1996</v>
      </c>
      <c r="O119" t="s">
        <v>1997</v>
      </c>
      <c r="P119" s="8">
        <v>76</v>
      </c>
      <c r="Q119" t="s">
        <v>1998</v>
      </c>
      <c r="R119" t="s">
        <v>1999</v>
      </c>
      <c r="S119" t="s">
        <v>2000</v>
      </c>
      <c r="T119" t="s">
        <v>2001</v>
      </c>
    </row>
    <row r="120" spans="1:20" x14ac:dyDescent="0.3">
      <c r="A120">
        <v>98</v>
      </c>
      <c r="B120" t="s">
        <v>1327</v>
      </c>
      <c r="C120" t="s">
        <v>1328</v>
      </c>
      <c r="D120" t="s">
        <v>1329</v>
      </c>
      <c r="E120" t="s">
        <v>1330</v>
      </c>
      <c r="F120" t="s">
        <v>697</v>
      </c>
      <c r="G120" t="s">
        <v>1331</v>
      </c>
      <c r="H120" t="s">
        <v>1109</v>
      </c>
      <c r="I120" t="s">
        <v>1332</v>
      </c>
      <c r="M120" t="s">
        <v>2002</v>
      </c>
      <c r="N120" t="s">
        <v>2003</v>
      </c>
      <c r="O120" t="s">
        <v>2004</v>
      </c>
      <c r="P120" t="s">
        <v>2005</v>
      </c>
      <c r="Q120" t="s">
        <v>2006</v>
      </c>
      <c r="R120" t="s">
        <v>2007</v>
      </c>
      <c r="S120" t="s">
        <v>2008</v>
      </c>
      <c r="T120" t="s">
        <v>2009</v>
      </c>
    </row>
    <row r="121" spans="1:20" x14ac:dyDescent="0.3">
      <c r="A121">
        <v>99</v>
      </c>
      <c r="B121" t="s">
        <v>1333</v>
      </c>
      <c r="C121" t="s">
        <v>1334</v>
      </c>
      <c r="D121" t="s">
        <v>1335</v>
      </c>
      <c r="E121" t="s">
        <v>1336</v>
      </c>
      <c r="F121" t="s">
        <v>697</v>
      </c>
      <c r="G121" t="s">
        <v>1337</v>
      </c>
      <c r="H121" t="s">
        <v>899</v>
      </c>
      <c r="I121" t="s">
        <v>1338</v>
      </c>
      <c r="M121">
        <v>4585</v>
      </c>
      <c r="N121" t="s">
        <v>2010</v>
      </c>
      <c r="O121" t="s">
        <v>2011</v>
      </c>
      <c r="P121">
        <v>2686</v>
      </c>
      <c r="Q121">
        <v>9139</v>
      </c>
      <c r="R121" t="s">
        <v>2012</v>
      </c>
      <c r="S121" t="s">
        <v>2013</v>
      </c>
      <c r="T121" t="s">
        <v>2014</v>
      </c>
    </row>
    <row r="122" spans="1:20" x14ac:dyDescent="0.3">
      <c r="A122">
        <v>100</v>
      </c>
      <c r="B122" t="s">
        <v>1339</v>
      </c>
      <c r="C122" t="s">
        <v>1340</v>
      </c>
      <c r="D122" t="s">
        <v>1341</v>
      </c>
      <c r="E122" t="s">
        <v>1342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07775-1032-45FF-9ED0-511F041F6034}">
  <sheetPr codeName="links"/>
  <dimension ref="A1:P82"/>
  <sheetViews>
    <sheetView topLeftCell="G43" workbookViewId="0">
      <selection activeCell="J1" sqref="J1:J1048576"/>
    </sheetView>
  </sheetViews>
  <sheetFormatPr defaultRowHeight="14.4" x14ac:dyDescent="0.3"/>
  <cols>
    <col min="1" max="1" width="21" customWidth="1"/>
    <col min="2" max="2" width="56.33203125" bestFit="1" customWidth="1"/>
    <col min="3" max="3" width="21.33203125" customWidth="1"/>
    <col min="4" max="4" width="38.6640625" customWidth="1"/>
    <col min="5" max="5" width="10.88671875" customWidth="1"/>
    <col min="6" max="6" width="27.6640625" customWidth="1"/>
    <col min="7" max="7" width="52.33203125" customWidth="1"/>
    <col min="8" max="8" width="28" customWidth="1"/>
    <col min="9" max="9" width="33.109375" customWidth="1"/>
    <col min="10" max="10" width="36.88671875" bestFit="1" customWidth="1"/>
    <col min="11" max="12" width="52.5546875" customWidth="1"/>
    <col min="15" max="15" width="10" bestFit="1" customWidth="1"/>
    <col min="16" max="16" width="65.109375" bestFit="1" customWidth="1"/>
  </cols>
  <sheetData>
    <row r="1" spans="1:16" x14ac:dyDescent="0.3">
      <c r="A1" t="s">
        <v>606</v>
      </c>
      <c r="B1" t="s">
        <v>439</v>
      </c>
      <c r="C1" t="s">
        <v>440</v>
      </c>
      <c r="D1" t="s">
        <v>441</v>
      </c>
      <c r="E1" t="s">
        <v>515</v>
      </c>
      <c r="F1" t="s">
        <v>514</v>
      </c>
      <c r="G1" t="s">
        <v>513</v>
      </c>
      <c r="H1" t="s">
        <v>512</v>
      </c>
      <c r="I1" t="s">
        <v>511</v>
      </c>
      <c r="J1" t="s">
        <v>518</v>
      </c>
      <c r="K1" t="s">
        <v>2262</v>
      </c>
      <c r="L1" t="s">
        <v>442</v>
      </c>
      <c r="M1" t="s">
        <v>443</v>
      </c>
      <c r="N1" t="s">
        <v>2045</v>
      </c>
      <c r="O1" t="s">
        <v>2127</v>
      </c>
      <c r="P1" t="s">
        <v>2261</v>
      </c>
    </row>
    <row r="2" spans="1:16" x14ac:dyDescent="0.3">
      <c r="A2" t="s">
        <v>671</v>
      </c>
      <c r="B2" t="s">
        <v>66</v>
      </c>
      <c r="C2" t="s">
        <v>147</v>
      </c>
      <c r="D2" t="s">
        <v>162</v>
      </c>
      <c r="E2" t="s">
        <v>395</v>
      </c>
      <c r="G2" t="s">
        <v>396</v>
      </c>
      <c r="H2" t="s">
        <v>397</v>
      </c>
      <c r="I2" t="s">
        <v>398</v>
      </c>
      <c r="J2" t="s">
        <v>601</v>
      </c>
      <c r="L2">
        <f t="shared" ref="L2:L33" ca="1" si="0">RAND()</f>
        <v>0.60489605482580755</v>
      </c>
      <c r="M2" t="s">
        <v>488</v>
      </c>
      <c r="N2" t="s">
        <v>2060</v>
      </c>
      <c r="O2" t="s">
        <v>2142</v>
      </c>
    </row>
    <row r="3" spans="1:16" x14ac:dyDescent="0.3">
      <c r="A3">
        <v>48565</v>
      </c>
      <c r="B3" t="s">
        <v>60</v>
      </c>
      <c r="C3" t="s">
        <v>141</v>
      </c>
      <c r="D3" t="s">
        <v>162</v>
      </c>
      <c r="E3" t="s">
        <v>371</v>
      </c>
      <c r="G3" t="s">
        <v>372</v>
      </c>
      <c r="H3" t="s">
        <v>373</v>
      </c>
      <c r="I3" t="s">
        <v>374</v>
      </c>
      <c r="J3" t="s">
        <v>540</v>
      </c>
      <c r="L3">
        <f t="shared" ca="1" si="0"/>
        <v>0.99029920679574324</v>
      </c>
      <c r="M3" t="s">
        <v>485</v>
      </c>
      <c r="N3" t="s">
        <v>2109</v>
      </c>
      <c r="O3" t="s">
        <v>2191</v>
      </c>
    </row>
    <row r="4" spans="1:16" x14ac:dyDescent="0.3">
      <c r="A4" t="s">
        <v>682</v>
      </c>
      <c r="B4" t="s">
        <v>76</v>
      </c>
      <c r="C4" t="s">
        <v>157</v>
      </c>
      <c r="D4" t="s">
        <v>162</v>
      </c>
      <c r="E4" t="s">
        <v>421</v>
      </c>
      <c r="G4" t="s">
        <v>424</v>
      </c>
      <c r="H4" t="s">
        <v>425</v>
      </c>
      <c r="I4" t="s">
        <v>426</v>
      </c>
      <c r="J4" t="s">
        <v>535</v>
      </c>
      <c r="L4">
        <f t="shared" ca="1" si="0"/>
        <v>0.87802424527811862</v>
      </c>
      <c r="M4" t="s">
        <v>427</v>
      </c>
      <c r="N4" t="s">
        <v>2059</v>
      </c>
      <c r="O4" t="s">
        <v>2141</v>
      </c>
    </row>
    <row r="5" spans="1:16" x14ac:dyDescent="0.3">
      <c r="A5" t="s">
        <v>804</v>
      </c>
      <c r="B5" t="s">
        <v>57</v>
      </c>
      <c r="C5" t="s">
        <v>138</v>
      </c>
      <c r="D5" t="s">
        <v>167</v>
      </c>
      <c r="E5" t="s">
        <v>359</v>
      </c>
      <c r="F5" t="s">
        <v>360</v>
      </c>
      <c r="G5" t="s">
        <v>361</v>
      </c>
      <c r="H5">
        <v>1863</v>
      </c>
      <c r="I5" t="s">
        <v>362</v>
      </c>
      <c r="J5" t="s">
        <v>554</v>
      </c>
      <c r="L5">
        <f t="shared" ca="1" si="0"/>
        <v>0.55015531690866126</v>
      </c>
      <c r="M5" t="s">
        <v>456</v>
      </c>
      <c r="N5" t="s">
        <v>2112</v>
      </c>
      <c r="O5" t="s">
        <v>2194</v>
      </c>
    </row>
    <row r="6" spans="1:16" x14ac:dyDescent="0.3">
      <c r="A6" t="s">
        <v>2032</v>
      </c>
      <c r="B6" t="s">
        <v>52</v>
      </c>
      <c r="C6" t="s">
        <v>133</v>
      </c>
      <c r="D6" t="s">
        <v>167</v>
      </c>
      <c r="E6" t="s">
        <v>344</v>
      </c>
      <c r="G6" t="s">
        <v>269</v>
      </c>
      <c r="H6" t="s">
        <v>345</v>
      </c>
      <c r="I6" t="s">
        <v>346</v>
      </c>
      <c r="J6" t="s">
        <v>562</v>
      </c>
      <c r="L6">
        <f t="shared" ca="1" si="0"/>
        <v>0.73597419970336031</v>
      </c>
      <c r="M6" t="s">
        <v>503</v>
      </c>
      <c r="N6" t="s">
        <v>2092</v>
      </c>
      <c r="O6" t="s">
        <v>2174</v>
      </c>
    </row>
    <row r="7" spans="1:16" x14ac:dyDescent="0.3">
      <c r="A7" t="s">
        <v>490</v>
      </c>
      <c r="B7" t="s">
        <v>69</v>
      </c>
      <c r="C7" t="s">
        <v>150</v>
      </c>
      <c r="D7" t="s">
        <v>162</v>
      </c>
      <c r="E7" t="s">
        <v>223</v>
      </c>
      <c r="G7" t="s">
        <v>169</v>
      </c>
      <c r="H7" t="s">
        <v>404</v>
      </c>
      <c r="I7" t="s">
        <v>2266</v>
      </c>
      <c r="J7" t="s">
        <v>177</v>
      </c>
      <c r="L7">
        <f t="shared" ca="1" si="0"/>
        <v>0.4225505497692067</v>
      </c>
      <c r="M7" t="s">
        <v>491</v>
      </c>
      <c r="N7" t="s">
        <v>2103</v>
      </c>
      <c r="O7" t="s">
        <v>2185</v>
      </c>
    </row>
    <row r="8" spans="1:16" x14ac:dyDescent="0.3">
      <c r="A8">
        <v>48556</v>
      </c>
      <c r="B8" t="s">
        <v>62</v>
      </c>
      <c r="C8" t="s">
        <v>143</v>
      </c>
      <c r="D8" t="s">
        <v>162</v>
      </c>
      <c r="E8" t="s">
        <v>181</v>
      </c>
      <c r="F8" t="s">
        <v>381</v>
      </c>
      <c r="G8" t="s">
        <v>182</v>
      </c>
      <c r="H8" t="s">
        <v>382</v>
      </c>
      <c r="I8" t="s">
        <v>383</v>
      </c>
      <c r="J8" t="s">
        <v>540</v>
      </c>
      <c r="L8">
        <f t="shared" ca="1" si="0"/>
        <v>0.81801731520934362</v>
      </c>
      <c r="M8" t="s">
        <v>486</v>
      </c>
      <c r="N8" t="s">
        <v>2066</v>
      </c>
      <c r="O8" t="s">
        <v>2148</v>
      </c>
    </row>
    <row r="9" spans="1:16" x14ac:dyDescent="0.3">
      <c r="A9" t="s">
        <v>2020</v>
      </c>
      <c r="B9" t="s">
        <v>9</v>
      </c>
      <c r="C9" t="s">
        <v>93</v>
      </c>
      <c r="D9" t="s">
        <v>162</v>
      </c>
      <c r="E9" t="s">
        <v>202</v>
      </c>
      <c r="G9" t="s">
        <v>203</v>
      </c>
      <c r="H9" t="s">
        <v>204</v>
      </c>
      <c r="I9" t="s">
        <v>383</v>
      </c>
      <c r="J9" t="s">
        <v>568</v>
      </c>
      <c r="L9">
        <f t="shared" ca="1" si="0"/>
        <v>4.6824540625206579E-3</v>
      </c>
      <c r="M9" t="s">
        <v>205</v>
      </c>
      <c r="N9" t="s">
        <v>2113</v>
      </c>
      <c r="O9" t="s">
        <v>2195</v>
      </c>
    </row>
    <row r="10" spans="1:16" x14ac:dyDescent="0.3">
      <c r="A10" t="s">
        <v>2022</v>
      </c>
      <c r="B10" t="s">
        <v>43</v>
      </c>
      <c r="C10" t="s">
        <v>124</v>
      </c>
      <c r="D10" t="s">
        <v>162</v>
      </c>
      <c r="E10" t="s">
        <v>312</v>
      </c>
      <c r="G10" t="s">
        <v>313</v>
      </c>
      <c r="H10" t="s">
        <v>314</v>
      </c>
      <c r="I10" t="s">
        <v>315</v>
      </c>
      <c r="J10" t="s">
        <v>568</v>
      </c>
      <c r="L10">
        <f t="shared" ca="1" si="0"/>
        <v>0.96801864435767115</v>
      </c>
      <c r="M10" t="s">
        <v>316</v>
      </c>
      <c r="N10" t="s">
        <v>2107</v>
      </c>
      <c r="O10" t="s">
        <v>2189</v>
      </c>
    </row>
    <row r="11" spans="1:16" x14ac:dyDescent="0.3">
      <c r="A11" t="s">
        <v>674</v>
      </c>
      <c r="B11" t="s">
        <v>53</v>
      </c>
      <c r="C11" t="s">
        <v>134</v>
      </c>
      <c r="D11" t="s">
        <v>167</v>
      </c>
      <c r="E11" t="s">
        <v>347</v>
      </c>
      <c r="F11" t="s">
        <v>348</v>
      </c>
      <c r="G11" t="s">
        <v>349</v>
      </c>
      <c r="H11">
        <v>1943</v>
      </c>
      <c r="I11" t="s">
        <v>2267</v>
      </c>
      <c r="J11" t="s">
        <v>601</v>
      </c>
      <c r="L11">
        <f t="shared" ca="1" si="0"/>
        <v>0.29727363664716866</v>
      </c>
      <c r="M11" t="s">
        <v>455</v>
      </c>
      <c r="N11" t="s">
        <v>2124</v>
      </c>
      <c r="O11" t="s">
        <v>2206</v>
      </c>
    </row>
    <row r="12" spans="1:16" x14ac:dyDescent="0.3">
      <c r="A12" t="s">
        <v>1379</v>
      </c>
      <c r="B12" t="s">
        <v>14</v>
      </c>
      <c r="C12" t="s">
        <v>98</v>
      </c>
      <c r="D12" t="s">
        <v>162</v>
      </c>
      <c r="E12" t="s">
        <v>219</v>
      </c>
      <c r="F12" t="s">
        <v>220</v>
      </c>
      <c r="G12" t="s">
        <v>200</v>
      </c>
      <c r="H12" t="s">
        <v>221</v>
      </c>
      <c r="I12" t="s">
        <v>222</v>
      </c>
      <c r="J12" t="s">
        <v>560</v>
      </c>
      <c r="L12">
        <f t="shared" ca="1" si="0"/>
        <v>6.4411706051087592E-2</v>
      </c>
      <c r="M12" t="s">
        <v>468</v>
      </c>
      <c r="N12" t="s">
        <v>2089</v>
      </c>
      <c r="O12" t="s">
        <v>2171</v>
      </c>
    </row>
    <row r="13" spans="1:16" x14ac:dyDescent="0.3">
      <c r="A13" t="s">
        <v>300</v>
      </c>
      <c r="B13" t="s">
        <v>39</v>
      </c>
      <c r="C13" t="s">
        <v>120</v>
      </c>
      <c r="D13" t="s">
        <v>162</v>
      </c>
      <c r="E13" t="s">
        <v>296</v>
      </c>
      <c r="G13" t="s">
        <v>297</v>
      </c>
      <c r="H13" t="s">
        <v>298</v>
      </c>
      <c r="I13" t="s">
        <v>299</v>
      </c>
      <c r="J13" t="s">
        <v>177</v>
      </c>
      <c r="L13">
        <f t="shared" ca="1" si="0"/>
        <v>0.32081173292242882</v>
      </c>
      <c r="M13" t="s">
        <v>301</v>
      </c>
      <c r="N13" t="s">
        <v>2054</v>
      </c>
      <c r="O13" t="s">
        <v>2136</v>
      </c>
    </row>
    <row r="14" spans="1:16" x14ac:dyDescent="0.3">
      <c r="A14" t="s">
        <v>1349</v>
      </c>
      <c r="B14" t="s">
        <v>3</v>
      </c>
      <c r="C14" t="s">
        <v>86</v>
      </c>
      <c r="D14" t="s">
        <v>167</v>
      </c>
      <c r="E14" t="s">
        <v>3</v>
      </c>
      <c r="F14" t="s">
        <v>178</v>
      </c>
      <c r="G14" t="s">
        <v>179</v>
      </c>
      <c r="H14">
        <v>1782</v>
      </c>
      <c r="I14" t="s">
        <v>2268</v>
      </c>
      <c r="J14" t="s">
        <v>560</v>
      </c>
      <c r="L14">
        <f t="shared" ca="1" si="0"/>
        <v>0.84064759216997664</v>
      </c>
      <c r="M14" t="s">
        <v>180</v>
      </c>
      <c r="N14" t="s">
        <v>2080</v>
      </c>
      <c r="O14" t="s">
        <v>2162</v>
      </c>
    </row>
    <row r="15" spans="1:16" x14ac:dyDescent="0.3">
      <c r="A15" t="s">
        <v>675</v>
      </c>
      <c r="B15" t="s">
        <v>2</v>
      </c>
      <c r="C15" t="s">
        <v>85</v>
      </c>
      <c r="D15" t="s">
        <v>167</v>
      </c>
      <c r="E15" t="s">
        <v>2</v>
      </c>
      <c r="F15" t="s">
        <v>178</v>
      </c>
      <c r="G15" t="s">
        <v>179</v>
      </c>
      <c r="H15">
        <v>1782</v>
      </c>
      <c r="I15" t="s">
        <v>2268</v>
      </c>
      <c r="J15" t="s">
        <v>601</v>
      </c>
      <c r="L15">
        <f t="shared" ca="1" si="0"/>
        <v>0.28591607650593931</v>
      </c>
      <c r="M15" t="s">
        <v>445</v>
      </c>
      <c r="N15" t="s">
        <v>2081</v>
      </c>
      <c r="O15" t="s">
        <v>2163</v>
      </c>
    </row>
    <row r="16" spans="1:16" x14ac:dyDescent="0.3">
      <c r="A16" t="s">
        <v>509</v>
      </c>
      <c r="B16" t="s">
        <v>20</v>
      </c>
      <c r="C16" t="s">
        <v>101</v>
      </c>
      <c r="D16" t="s">
        <v>162</v>
      </c>
      <c r="E16" t="s">
        <v>181</v>
      </c>
      <c r="G16" t="s">
        <v>228</v>
      </c>
      <c r="H16" t="s">
        <v>229</v>
      </c>
      <c r="I16" t="s">
        <v>230</v>
      </c>
      <c r="J16" t="s">
        <v>177</v>
      </c>
      <c r="L16">
        <f t="shared" ca="1" si="0"/>
        <v>0.31848534009335139</v>
      </c>
      <c r="M16" t="s">
        <v>231</v>
      </c>
      <c r="N16" t="s">
        <v>2063</v>
      </c>
      <c r="O16" t="s">
        <v>2145</v>
      </c>
    </row>
    <row r="17" spans="1:15" x14ac:dyDescent="0.3">
      <c r="A17">
        <v>8755</v>
      </c>
      <c r="B17" t="s">
        <v>68</v>
      </c>
      <c r="C17" t="s">
        <v>149</v>
      </c>
      <c r="D17" t="s">
        <v>162</v>
      </c>
      <c r="E17" t="s">
        <v>223</v>
      </c>
      <c r="G17" t="s">
        <v>402</v>
      </c>
      <c r="H17" t="s">
        <v>403</v>
      </c>
      <c r="I17" t="s">
        <v>2272</v>
      </c>
      <c r="J17" t="s">
        <v>546</v>
      </c>
      <c r="L17">
        <f t="shared" ca="1" si="0"/>
        <v>0.22171557422912525</v>
      </c>
      <c r="M17" t="s">
        <v>489</v>
      </c>
      <c r="N17" t="s">
        <v>2050</v>
      </c>
      <c r="O17" t="s">
        <v>2132</v>
      </c>
    </row>
    <row r="18" spans="1:15" x14ac:dyDescent="0.3">
      <c r="A18" t="s">
        <v>2044</v>
      </c>
      <c r="B18" t="s">
        <v>70</v>
      </c>
      <c r="C18" t="s">
        <v>151</v>
      </c>
      <c r="D18" t="s">
        <v>162</v>
      </c>
      <c r="E18" t="s">
        <v>223</v>
      </c>
      <c r="F18" t="s">
        <v>405</v>
      </c>
      <c r="G18" t="s">
        <v>406</v>
      </c>
      <c r="H18" t="s">
        <v>407</v>
      </c>
      <c r="I18" t="s">
        <v>2269</v>
      </c>
      <c r="J18" t="s">
        <v>528</v>
      </c>
      <c r="L18">
        <f t="shared" ca="1" si="0"/>
        <v>0.50348015601833784</v>
      </c>
      <c r="M18" t="s">
        <v>408</v>
      </c>
      <c r="N18" t="s">
        <v>2123</v>
      </c>
      <c r="O18" t="s">
        <v>2205</v>
      </c>
    </row>
    <row r="19" spans="1:15" x14ac:dyDescent="0.3">
      <c r="A19" t="s">
        <v>797</v>
      </c>
      <c r="B19" t="s">
        <v>67</v>
      </c>
      <c r="C19" t="s">
        <v>148</v>
      </c>
      <c r="D19" t="s">
        <v>162</v>
      </c>
      <c r="E19" t="s">
        <v>223</v>
      </c>
      <c r="F19" t="s">
        <v>399</v>
      </c>
      <c r="G19" t="s">
        <v>400</v>
      </c>
      <c r="H19" t="s">
        <v>401</v>
      </c>
      <c r="I19" t="s">
        <v>2270</v>
      </c>
      <c r="J19" t="s">
        <v>554</v>
      </c>
      <c r="L19">
        <f t="shared" ca="1" si="0"/>
        <v>0.33878549932171598</v>
      </c>
      <c r="M19" t="s">
        <v>507</v>
      </c>
      <c r="N19" t="s">
        <v>2115</v>
      </c>
      <c r="O19" t="s">
        <v>2197</v>
      </c>
    </row>
    <row r="20" spans="1:15" x14ac:dyDescent="0.3">
      <c r="A20" t="s">
        <v>669</v>
      </c>
      <c r="B20" t="s">
        <v>19</v>
      </c>
      <c r="C20" t="s">
        <v>99</v>
      </c>
      <c r="D20" t="s">
        <v>162</v>
      </c>
      <c r="E20" t="s">
        <v>223</v>
      </c>
      <c r="G20" t="s">
        <v>224</v>
      </c>
      <c r="H20" t="s">
        <v>225</v>
      </c>
      <c r="I20" t="s">
        <v>2271</v>
      </c>
      <c r="J20" t="s">
        <v>574</v>
      </c>
      <c r="L20">
        <f t="shared" ca="1" si="0"/>
        <v>0.79280856966494717</v>
      </c>
      <c r="M20" t="s">
        <v>469</v>
      </c>
      <c r="N20" t="s">
        <v>2122</v>
      </c>
      <c r="O20" t="s">
        <v>2204</v>
      </c>
    </row>
    <row r="21" spans="1:15" x14ac:dyDescent="0.3">
      <c r="A21" t="s">
        <v>678</v>
      </c>
      <c r="B21" t="s">
        <v>30</v>
      </c>
      <c r="C21" t="s">
        <v>111</v>
      </c>
      <c r="D21" t="s">
        <v>162</v>
      </c>
      <c r="E21" t="s">
        <v>261</v>
      </c>
      <c r="G21" t="s">
        <v>237</v>
      </c>
      <c r="H21" t="s">
        <v>262</v>
      </c>
      <c r="I21" t="s">
        <v>263</v>
      </c>
      <c r="J21" t="s">
        <v>590</v>
      </c>
      <c r="L21">
        <f t="shared" ca="1" si="0"/>
        <v>0.91128145820672823</v>
      </c>
      <c r="M21" t="s">
        <v>474</v>
      </c>
      <c r="N21" t="s">
        <v>2086</v>
      </c>
      <c r="O21" t="s">
        <v>2168</v>
      </c>
    </row>
    <row r="22" spans="1:15" x14ac:dyDescent="0.3">
      <c r="A22" t="s">
        <v>506</v>
      </c>
      <c r="B22" t="s">
        <v>61</v>
      </c>
      <c r="C22" t="s">
        <v>142</v>
      </c>
      <c r="D22" t="s">
        <v>162</v>
      </c>
      <c r="E22" t="s">
        <v>375</v>
      </c>
      <c r="F22" t="s">
        <v>376</v>
      </c>
      <c r="G22" t="s">
        <v>377</v>
      </c>
      <c r="H22" t="s">
        <v>378</v>
      </c>
      <c r="I22" t="s">
        <v>379</v>
      </c>
      <c r="J22" t="s">
        <v>177</v>
      </c>
      <c r="L22">
        <f t="shared" ca="1" si="0"/>
        <v>0.12442782685821863</v>
      </c>
      <c r="M22" t="s">
        <v>380</v>
      </c>
      <c r="N22" t="s">
        <v>2064</v>
      </c>
      <c r="O22" t="s">
        <v>2146</v>
      </c>
    </row>
    <row r="23" spans="1:15" x14ac:dyDescent="0.3">
      <c r="A23" t="s">
        <v>2028</v>
      </c>
      <c r="B23" t="s">
        <v>6</v>
      </c>
      <c r="C23" t="s">
        <v>90</v>
      </c>
      <c r="D23" t="s">
        <v>162</v>
      </c>
      <c r="E23" t="s">
        <v>192</v>
      </c>
      <c r="F23" t="s">
        <v>193</v>
      </c>
      <c r="G23" t="s">
        <v>194</v>
      </c>
      <c r="H23">
        <v>1774</v>
      </c>
      <c r="I23" t="s">
        <v>195</v>
      </c>
      <c r="J23" t="s">
        <v>568</v>
      </c>
      <c r="L23">
        <f t="shared" ca="1" si="0"/>
        <v>0.33050733813658573</v>
      </c>
      <c r="M23" t="s">
        <v>467</v>
      </c>
      <c r="N23" t="s">
        <v>2049</v>
      </c>
      <c r="O23" t="s">
        <v>2131</v>
      </c>
    </row>
    <row r="24" spans="1:15" x14ac:dyDescent="0.3">
      <c r="A24" t="s">
        <v>2040</v>
      </c>
      <c r="B24" t="s">
        <v>56</v>
      </c>
      <c r="C24" t="s">
        <v>137</v>
      </c>
      <c r="D24" t="s">
        <v>162</v>
      </c>
      <c r="E24" t="s">
        <v>355</v>
      </c>
      <c r="F24" t="s">
        <v>356</v>
      </c>
      <c r="G24" t="s">
        <v>357</v>
      </c>
      <c r="H24" t="s">
        <v>358</v>
      </c>
      <c r="I24" t="s">
        <v>234</v>
      </c>
      <c r="J24" t="s">
        <v>528</v>
      </c>
      <c r="L24">
        <f t="shared" ca="1" si="0"/>
        <v>0.46590370721798369</v>
      </c>
      <c r="M24" t="s">
        <v>484</v>
      </c>
      <c r="N24" t="s">
        <v>2048</v>
      </c>
      <c r="O24" t="s">
        <v>2130</v>
      </c>
    </row>
    <row r="25" spans="1:15" x14ac:dyDescent="0.3">
      <c r="A25" t="s">
        <v>2043</v>
      </c>
      <c r="B25" t="s">
        <v>21</v>
      </c>
      <c r="C25" t="s">
        <v>102</v>
      </c>
      <c r="D25" t="s">
        <v>162</v>
      </c>
      <c r="E25" t="s">
        <v>232</v>
      </c>
      <c r="F25" t="s">
        <v>233</v>
      </c>
      <c r="G25" t="s">
        <v>169</v>
      </c>
      <c r="H25">
        <v>1775</v>
      </c>
      <c r="I25" t="s">
        <v>234</v>
      </c>
      <c r="J25" t="s">
        <v>528</v>
      </c>
      <c r="L25">
        <f t="shared" ca="1" si="0"/>
        <v>0.71447850550450775</v>
      </c>
      <c r="M25" t="s">
        <v>235</v>
      </c>
      <c r="N25" t="s">
        <v>2100</v>
      </c>
      <c r="O25" t="s">
        <v>2182</v>
      </c>
    </row>
    <row r="26" spans="1:15" x14ac:dyDescent="0.3">
      <c r="A26">
        <v>9063</v>
      </c>
      <c r="B26" t="s">
        <v>50</v>
      </c>
      <c r="C26" t="s">
        <v>131</v>
      </c>
      <c r="D26" t="s">
        <v>162</v>
      </c>
      <c r="E26" t="s">
        <v>340</v>
      </c>
      <c r="G26" t="s">
        <v>297</v>
      </c>
      <c r="H26" t="s">
        <v>341</v>
      </c>
      <c r="I26" t="s">
        <v>234</v>
      </c>
      <c r="J26" t="s">
        <v>546</v>
      </c>
      <c r="L26">
        <f t="shared" ca="1" si="0"/>
        <v>0.26905173599778731</v>
      </c>
      <c r="M26" t="s">
        <v>505</v>
      </c>
      <c r="N26" t="s">
        <v>2056</v>
      </c>
      <c r="O26" t="s">
        <v>2138</v>
      </c>
    </row>
    <row r="27" spans="1:15" x14ac:dyDescent="0.3">
      <c r="A27" t="s">
        <v>2042</v>
      </c>
      <c r="B27" t="s">
        <v>55</v>
      </c>
      <c r="C27" t="s">
        <v>136</v>
      </c>
      <c r="D27" t="s">
        <v>162</v>
      </c>
      <c r="E27" t="s">
        <v>232</v>
      </c>
      <c r="F27" t="s">
        <v>352</v>
      </c>
      <c r="G27" t="s">
        <v>353</v>
      </c>
      <c r="H27" t="s">
        <v>354</v>
      </c>
      <c r="I27" t="s">
        <v>482</v>
      </c>
      <c r="J27" t="s">
        <v>528</v>
      </c>
      <c r="L27">
        <f t="shared" ca="1" si="0"/>
        <v>0.7538795882353585</v>
      </c>
      <c r="M27" t="s">
        <v>483</v>
      </c>
      <c r="N27" t="s">
        <v>2058</v>
      </c>
      <c r="O27" t="s">
        <v>2140</v>
      </c>
    </row>
    <row r="28" spans="1:15" x14ac:dyDescent="0.3">
      <c r="A28" t="s">
        <v>790</v>
      </c>
      <c r="B28" t="s">
        <v>51</v>
      </c>
      <c r="C28" t="s">
        <v>132</v>
      </c>
      <c r="D28" t="s">
        <v>162</v>
      </c>
      <c r="E28" t="s">
        <v>342</v>
      </c>
      <c r="F28" t="s">
        <v>479</v>
      </c>
      <c r="G28" t="s">
        <v>480</v>
      </c>
      <c r="H28" t="s">
        <v>2279</v>
      </c>
      <c r="I28" t="s">
        <v>481</v>
      </c>
      <c r="J28" t="s">
        <v>554</v>
      </c>
      <c r="L28">
        <f t="shared" ca="1" si="0"/>
        <v>5.7571095332022537E-2</v>
      </c>
      <c r="M28" t="s">
        <v>343</v>
      </c>
      <c r="N28" t="s">
        <v>2088</v>
      </c>
      <c r="O28" t="s">
        <v>2170</v>
      </c>
    </row>
    <row r="29" spans="1:15" x14ac:dyDescent="0.3">
      <c r="A29" t="s">
        <v>2038</v>
      </c>
      <c r="B29" t="s">
        <v>74</v>
      </c>
      <c r="C29" t="s">
        <v>155</v>
      </c>
      <c r="D29" t="s">
        <v>162</v>
      </c>
      <c r="E29" t="s">
        <v>417</v>
      </c>
      <c r="G29" t="s">
        <v>190</v>
      </c>
      <c r="H29" t="s">
        <v>418</v>
      </c>
      <c r="I29" t="s">
        <v>419</v>
      </c>
      <c r="J29" t="s">
        <v>517</v>
      </c>
      <c r="L29">
        <f t="shared" ca="1" si="0"/>
        <v>0.9966613882748131</v>
      </c>
      <c r="M29" t="s">
        <v>420</v>
      </c>
      <c r="N29" t="s">
        <v>2071</v>
      </c>
      <c r="O29" t="s">
        <v>2153</v>
      </c>
    </row>
    <row r="30" spans="1:15" x14ac:dyDescent="0.3">
      <c r="A30" t="s">
        <v>684</v>
      </c>
      <c r="B30" t="s">
        <v>40</v>
      </c>
      <c r="C30" t="s">
        <v>121</v>
      </c>
      <c r="D30" t="s">
        <v>162</v>
      </c>
      <c r="E30" t="s">
        <v>232</v>
      </c>
      <c r="G30" t="s">
        <v>171</v>
      </c>
      <c r="H30" t="s">
        <v>172</v>
      </c>
      <c r="I30" t="s">
        <v>302</v>
      </c>
      <c r="J30" t="s">
        <v>535</v>
      </c>
      <c r="L30">
        <f t="shared" ca="1" si="0"/>
        <v>0.47324367922425936</v>
      </c>
      <c r="M30" t="s">
        <v>303</v>
      </c>
      <c r="N30" t="s">
        <v>2116</v>
      </c>
      <c r="O30" t="s">
        <v>2198</v>
      </c>
    </row>
    <row r="31" spans="1:15" x14ac:dyDescent="0.3">
      <c r="A31" t="s">
        <v>438</v>
      </c>
      <c r="B31" t="s">
        <v>80</v>
      </c>
      <c r="C31" t="s">
        <v>161</v>
      </c>
      <c r="D31" t="s">
        <v>162</v>
      </c>
      <c r="E31" t="s">
        <v>232</v>
      </c>
      <c r="G31" t="s">
        <v>313</v>
      </c>
      <c r="H31" t="s">
        <v>437</v>
      </c>
      <c r="I31" t="s">
        <v>302</v>
      </c>
      <c r="J31" t="s">
        <v>177</v>
      </c>
      <c r="L31">
        <f t="shared" ca="1" si="0"/>
        <v>0.4516814432147388</v>
      </c>
      <c r="M31" t="s">
        <v>508</v>
      </c>
      <c r="N31" t="s">
        <v>2108</v>
      </c>
      <c r="O31" t="s">
        <v>2190</v>
      </c>
    </row>
    <row r="32" spans="1:15" x14ac:dyDescent="0.3">
      <c r="A32">
        <v>49521</v>
      </c>
      <c r="B32" t="s">
        <v>49</v>
      </c>
      <c r="C32" t="s">
        <v>130</v>
      </c>
      <c r="D32" t="s">
        <v>162</v>
      </c>
      <c r="E32" t="s">
        <v>49</v>
      </c>
      <c r="F32" t="s">
        <v>337</v>
      </c>
      <c r="G32" t="s">
        <v>190</v>
      </c>
      <c r="H32" t="s">
        <v>338</v>
      </c>
      <c r="I32" t="s">
        <v>339</v>
      </c>
      <c r="J32" t="s">
        <v>540</v>
      </c>
      <c r="L32">
        <f t="shared" ca="1" si="0"/>
        <v>0.41986534096438111</v>
      </c>
      <c r="M32" t="s">
        <v>478</v>
      </c>
      <c r="N32" t="s">
        <v>2077</v>
      </c>
      <c r="O32" t="s">
        <v>2159</v>
      </c>
    </row>
    <row r="33" spans="1:15" x14ac:dyDescent="0.3">
      <c r="A33" t="s">
        <v>250</v>
      </c>
      <c r="B33" t="s">
        <v>26</v>
      </c>
      <c r="C33" t="s">
        <v>107</v>
      </c>
      <c r="D33" t="s">
        <v>162</v>
      </c>
      <c r="E33" t="s">
        <v>248</v>
      </c>
      <c r="F33" t="s">
        <v>2276</v>
      </c>
      <c r="G33" t="s">
        <v>190</v>
      </c>
      <c r="H33">
        <v>1700</v>
      </c>
      <c r="I33" t="s">
        <v>249</v>
      </c>
      <c r="J33" t="s">
        <v>177</v>
      </c>
      <c r="L33">
        <f t="shared" ca="1" si="0"/>
        <v>0.53217225575282967</v>
      </c>
      <c r="M33" t="s">
        <v>251</v>
      </c>
      <c r="N33" t="s">
        <v>2074</v>
      </c>
      <c r="O33" t="s">
        <v>2156</v>
      </c>
    </row>
    <row r="34" spans="1:15" x14ac:dyDescent="0.3">
      <c r="A34" t="s">
        <v>783</v>
      </c>
      <c r="B34" t="s">
        <v>12</v>
      </c>
      <c r="C34" t="s">
        <v>96</v>
      </c>
      <c r="D34" t="s">
        <v>162</v>
      </c>
      <c r="E34" t="s">
        <v>213</v>
      </c>
      <c r="F34" t="s">
        <v>214</v>
      </c>
      <c r="G34" t="s">
        <v>215</v>
      </c>
      <c r="H34">
        <v>1755</v>
      </c>
      <c r="I34" t="s">
        <v>216</v>
      </c>
      <c r="J34" t="s">
        <v>554</v>
      </c>
      <c r="L34">
        <f t="shared" ref="L34:L65" ca="1" si="1">RAND()</f>
        <v>0.52293791162186842</v>
      </c>
      <c r="M34" t="s">
        <v>516</v>
      </c>
      <c r="N34" t="s">
        <v>2052</v>
      </c>
      <c r="O34" t="s">
        <v>2134</v>
      </c>
    </row>
    <row r="35" spans="1:15" x14ac:dyDescent="0.3">
      <c r="A35" t="s">
        <v>2019</v>
      </c>
      <c r="B35" t="s">
        <v>18</v>
      </c>
      <c r="C35" t="s">
        <v>89</v>
      </c>
      <c r="D35" t="s">
        <v>162</v>
      </c>
      <c r="E35" t="s">
        <v>188</v>
      </c>
      <c r="F35" t="s">
        <v>189</v>
      </c>
      <c r="G35" t="s">
        <v>190</v>
      </c>
      <c r="H35">
        <v>1773</v>
      </c>
      <c r="I35" t="s">
        <v>191</v>
      </c>
      <c r="J35" t="s">
        <v>531</v>
      </c>
      <c r="L35">
        <f t="shared" ca="1" si="1"/>
        <v>0.31098270933630434</v>
      </c>
      <c r="M35" t="s">
        <v>499</v>
      </c>
      <c r="N35" t="s">
        <v>2069</v>
      </c>
      <c r="O35" t="s">
        <v>2151</v>
      </c>
    </row>
    <row r="36" spans="1:15" x14ac:dyDescent="0.3">
      <c r="A36" t="s">
        <v>666</v>
      </c>
      <c r="B36" t="s">
        <v>64</v>
      </c>
      <c r="C36" t="s">
        <v>145</v>
      </c>
      <c r="D36" t="s">
        <v>162</v>
      </c>
      <c r="E36" t="s">
        <v>387</v>
      </c>
      <c r="F36" t="s">
        <v>388</v>
      </c>
      <c r="G36" t="s">
        <v>190</v>
      </c>
      <c r="H36" t="s">
        <v>389</v>
      </c>
      <c r="I36" t="s">
        <v>390</v>
      </c>
      <c r="J36" t="s">
        <v>574</v>
      </c>
      <c r="L36">
        <f t="shared" ca="1" si="1"/>
        <v>0.67777098738935371</v>
      </c>
      <c r="M36" t="s">
        <v>391</v>
      </c>
      <c r="N36" t="s">
        <v>2076</v>
      </c>
      <c r="O36" t="s">
        <v>2158</v>
      </c>
    </row>
    <row r="37" spans="1:15" x14ac:dyDescent="0.3">
      <c r="A37" t="s">
        <v>676</v>
      </c>
      <c r="B37" t="s">
        <v>32</v>
      </c>
      <c r="C37" t="s">
        <v>113</v>
      </c>
      <c r="D37" t="s">
        <v>162</v>
      </c>
      <c r="E37" t="s">
        <v>268</v>
      </c>
      <c r="G37" t="s">
        <v>269</v>
      </c>
      <c r="H37" t="s">
        <v>270</v>
      </c>
      <c r="I37" t="s">
        <v>271</v>
      </c>
      <c r="J37" t="s">
        <v>590</v>
      </c>
      <c r="L37">
        <f t="shared" ca="1" si="1"/>
        <v>0.2343635095083495</v>
      </c>
      <c r="M37" t="s">
        <v>272</v>
      </c>
      <c r="N37" t="s">
        <v>2093</v>
      </c>
      <c r="O37" t="s">
        <v>2175</v>
      </c>
    </row>
    <row r="38" spans="1:15" x14ac:dyDescent="0.3">
      <c r="A38" t="s">
        <v>607</v>
      </c>
      <c r="B38" t="s">
        <v>16</v>
      </c>
      <c r="C38" t="s">
        <v>81</v>
      </c>
      <c r="D38" t="s">
        <v>162</v>
      </c>
      <c r="E38" t="s">
        <v>163</v>
      </c>
      <c r="G38" t="s">
        <v>164</v>
      </c>
      <c r="H38" t="s">
        <v>165</v>
      </c>
      <c r="I38" t="s">
        <v>166</v>
      </c>
      <c r="J38" t="s">
        <v>186</v>
      </c>
      <c r="L38">
        <f t="shared" ca="1" si="1"/>
        <v>0.42870368760810129</v>
      </c>
      <c r="M38" t="s">
        <v>464</v>
      </c>
      <c r="N38" t="s">
        <v>2111</v>
      </c>
      <c r="O38" t="s">
        <v>2193</v>
      </c>
    </row>
    <row r="39" spans="1:15" x14ac:dyDescent="0.3">
      <c r="A39" t="s">
        <v>677</v>
      </c>
      <c r="B39" t="s">
        <v>73</v>
      </c>
      <c r="C39" t="s">
        <v>154</v>
      </c>
      <c r="D39" t="s">
        <v>162</v>
      </c>
      <c r="E39" t="s">
        <v>415</v>
      </c>
      <c r="G39" t="s">
        <v>171</v>
      </c>
      <c r="H39" t="s">
        <v>416</v>
      </c>
      <c r="I39" t="s">
        <v>166</v>
      </c>
      <c r="J39" t="s">
        <v>590</v>
      </c>
      <c r="L39">
        <f t="shared" ca="1" si="1"/>
        <v>0.59278347871288417</v>
      </c>
      <c r="M39" t="s">
        <v>493</v>
      </c>
      <c r="N39" t="s">
        <v>2119</v>
      </c>
      <c r="O39" t="s">
        <v>2201</v>
      </c>
    </row>
    <row r="40" spans="1:15" x14ac:dyDescent="0.3">
      <c r="A40" t="s">
        <v>2036</v>
      </c>
      <c r="B40" t="s">
        <v>29</v>
      </c>
      <c r="C40" t="s">
        <v>110</v>
      </c>
      <c r="D40" t="s">
        <v>167</v>
      </c>
      <c r="E40" t="s">
        <v>258</v>
      </c>
      <c r="F40" t="s">
        <v>259</v>
      </c>
      <c r="G40" t="s">
        <v>190</v>
      </c>
      <c r="H40">
        <v>1775</v>
      </c>
      <c r="I40" t="s">
        <v>260</v>
      </c>
      <c r="J40" t="s">
        <v>517</v>
      </c>
      <c r="L40">
        <f t="shared" ca="1" si="1"/>
        <v>0.31877793811934418</v>
      </c>
      <c r="M40" t="s">
        <v>451</v>
      </c>
      <c r="N40" t="s">
        <v>2072</v>
      </c>
      <c r="O40" t="s">
        <v>2154</v>
      </c>
    </row>
    <row r="41" spans="1:15" x14ac:dyDescent="0.3">
      <c r="A41" t="s">
        <v>2021</v>
      </c>
      <c r="B41" t="s">
        <v>46</v>
      </c>
      <c r="C41" t="s">
        <v>127</v>
      </c>
      <c r="D41" t="s">
        <v>167</v>
      </c>
      <c r="E41" t="s">
        <v>325</v>
      </c>
      <c r="F41" t="s">
        <v>326</v>
      </c>
      <c r="G41" t="s">
        <v>327</v>
      </c>
      <c r="H41">
        <v>1774</v>
      </c>
      <c r="I41" t="s">
        <v>454</v>
      </c>
      <c r="J41" t="s">
        <v>568</v>
      </c>
      <c r="L41">
        <f t="shared" ca="1" si="1"/>
        <v>9.3905758125437666E-2</v>
      </c>
      <c r="M41" t="s">
        <v>328</v>
      </c>
      <c r="N41" t="s">
        <v>2078</v>
      </c>
      <c r="O41" t="s">
        <v>2160</v>
      </c>
    </row>
    <row r="42" spans="1:15" x14ac:dyDescent="0.3">
      <c r="A42" t="s">
        <v>2026</v>
      </c>
      <c r="B42" t="s">
        <v>23</v>
      </c>
      <c r="C42" t="s">
        <v>104</v>
      </c>
      <c r="D42" t="s">
        <v>167</v>
      </c>
      <c r="E42" t="s">
        <v>238</v>
      </c>
      <c r="F42" t="s">
        <v>239</v>
      </c>
      <c r="G42" t="s">
        <v>215</v>
      </c>
      <c r="H42" t="s">
        <v>240</v>
      </c>
      <c r="I42" t="s">
        <v>2273</v>
      </c>
      <c r="J42" t="s">
        <v>568</v>
      </c>
      <c r="L42">
        <f t="shared" ca="1" si="1"/>
        <v>7.763598365811053E-2</v>
      </c>
      <c r="M42" t="s">
        <v>241</v>
      </c>
      <c r="N42" t="s">
        <v>2053</v>
      </c>
      <c r="O42" t="s">
        <v>2135</v>
      </c>
    </row>
    <row r="43" spans="1:15" x14ac:dyDescent="0.3">
      <c r="A43" t="s">
        <v>2025</v>
      </c>
      <c r="B43" t="s">
        <v>0</v>
      </c>
      <c r="C43" t="s">
        <v>82</v>
      </c>
      <c r="D43" t="s">
        <v>167</v>
      </c>
      <c r="E43" t="s">
        <v>496</v>
      </c>
      <c r="F43" t="s">
        <v>168</v>
      </c>
      <c r="G43" t="s">
        <v>169</v>
      </c>
      <c r="H43">
        <v>1883</v>
      </c>
      <c r="I43" t="s">
        <v>2273</v>
      </c>
      <c r="J43" t="s">
        <v>568</v>
      </c>
      <c r="L43">
        <f t="shared" ca="1" si="1"/>
        <v>0.68711478668577286</v>
      </c>
      <c r="M43" t="s">
        <v>444</v>
      </c>
      <c r="N43" t="s">
        <v>2098</v>
      </c>
      <c r="O43" t="s">
        <v>2180</v>
      </c>
    </row>
    <row r="44" spans="1:15" x14ac:dyDescent="0.3">
      <c r="A44" t="s">
        <v>2039</v>
      </c>
      <c r="B44" t="s">
        <v>8</v>
      </c>
      <c r="C44" t="s">
        <v>92</v>
      </c>
      <c r="D44" t="s">
        <v>167</v>
      </c>
      <c r="E44" t="s">
        <v>8</v>
      </c>
      <c r="F44" t="s">
        <v>199</v>
      </c>
      <c r="G44" t="s">
        <v>200</v>
      </c>
      <c r="H44" t="s">
        <v>201</v>
      </c>
      <c r="I44" t="s">
        <v>2273</v>
      </c>
      <c r="J44" t="s">
        <v>517</v>
      </c>
      <c r="L44">
        <f t="shared" ca="1" si="1"/>
        <v>0.28951559091609502</v>
      </c>
      <c r="M44" t="s">
        <v>502</v>
      </c>
      <c r="N44" t="s">
        <v>2090</v>
      </c>
      <c r="O44" t="s">
        <v>2172</v>
      </c>
    </row>
    <row r="45" spans="1:15" x14ac:dyDescent="0.3">
      <c r="A45" t="s">
        <v>2031</v>
      </c>
      <c r="B45" t="s">
        <v>44</v>
      </c>
      <c r="C45" t="s">
        <v>125</v>
      </c>
      <c r="D45" t="s">
        <v>167</v>
      </c>
      <c r="E45" t="s">
        <v>317</v>
      </c>
      <c r="F45" t="s">
        <v>318</v>
      </c>
      <c r="G45" t="s">
        <v>319</v>
      </c>
      <c r="H45" t="s">
        <v>320</v>
      </c>
      <c r="I45" t="s">
        <v>2273</v>
      </c>
      <c r="J45" t="s">
        <v>562</v>
      </c>
      <c r="L45">
        <f t="shared" ca="1" si="1"/>
        <v>0.80518530633498764</v>
      </c>
      <c r="M45" t="s">
        <v>321</v>
      </c>
      <c r="N45" t="s">
        <v>2061</v>
      </c>
      <c r="O45" t="s">
        <v>2143</v>
      </c>
    </row>
    <row r="46" spans="1:15" x14ac:dyDescent="0.3">
      <c r="A46" t="s">
        <v>367</v>
      </c>
      <c r="B46" t="s">
        <v>58</v>
      </c>
      <c r="C46" t="s">
        <v>139</v>
      </c>
      <c r="D46" t="s">
        <v>167</v>
      </c>
      <c r="E46" t="s">
        <v>363</v>
      </c>
      <c r="F46" t="s">
        <v>364</v>
      </c>
      <c r="G46" t="s">
        <v>365</v>
      </c>
      <c r="H46" t="s">
        <v>366</v>
      </c>
      <c r="I46" t="s">
        <v>2273</v>
      </c>
      <c r="J46" t="s">
        <v>186</v>
      </c>
      <c r="L46">
        <f t="shared" ca="1" si="1"/>
        <v>0.65888101494690843</v>
      </c>
      <c r="M46" t="s">
        <v>368</v>
      </c>
      <c r="N46" t="s">
        <v>2051</v>
      </c>
      <c r="O46" t="s">
        <v>2133</v>
      </c>
    </row>
    <row r="47" spans="1:15" x14ac:dyDescent="0.3">
      <c r="A47" t="s">
        <v>187</v>
      </c>
      <c r="B47" t="s">
        <v>5</v>
      </c>
      <c r="C47" t="s">
        <v>88</v>
      </c>
      <c r="D47" t="s">
        <v>167</v>
      </c>
      <c r="E47" t="s">
        <v>5</v>
      </c>
      <c r="F47" t="s">
        <v>184</v>
      </c>
      <c r="G47" t="s">
        <v>169</v>
      </c>
      <c r="H47" t="s">
        <v>185</v>
      </c>
      <c r="I47" t="s">
        <v>2273</v>
      </c>
      <c r="J47" t="s">
        <v>186</v>
      </c>
      <c r="L47">
        <f t="shared" ca="1" si="1"/>
        <v>0.26437043520780279</v>
      </c>
      <c r="M47" t="s">
        <v>446</v>
      </c>
      <c r="N47" t="s">
        <v>2105</v>
      </c>
      <c r="O47" t="s">
        <v>2187</v>
      </c>
    </row>
    <row r="48" spans="1:15" x14ac:dyDescent="0.3">
      <c r="A48" t="s">
        <v>673</v>
      </c>
      <c r="B48" t="s">
        <v>24</v>
      </c>
      <c r="C48" t="s">
        <v>105</v>
      </c>
      <c r="D48" t="s">
        <v>167</v>
      </c>
      <c r="E48" t="s">
        <v>242</v>
      </c>
      <c r="F48" t="s">
        <v>243</v>
      </c>
      <c r="G48" t="s">
        <v>244</v>
      </c>
      <c r="H48" t="s">
        <v>245</v>
      </c>
      <c r="I48" t="s">
        <v>2273</v>
      </c>
      <c r="J48" t="s">
        <v>601</v>
      </c>
      <c r="L48">
        <f t="shared" ca="1" si="1"/>
        <v>0.15591545454353495</v>
      </c>
      <c r="M48" t="s">
        <v>450</v>
      </c>
      <c r="N48" t="s">
        <v>2047</v>
      </c>
      <c r="O48" t="s">
        <v>2129</v>
      </c>
    </row>
    <row r="49" spans="1:15" x14ac:dyDescent="0.3">
      <c r="A49" t="s">
        <v>2027</v>
      </c>
      <c r="B49" t="s">
        <v>22</v>
      </c>
      <c r="C49" t="s">
        <v>103</v>
      </c>
      <c r="D49" t="s">
        <v>167</v>
      </c>
      <c r="E49" t="s">
        <v>236</v>
      </c>
      <c r="G49" t="s">
        <v>237</v>
      </c>
      <c r="H49">
        <v>1794</v>
      </c>
      <c r="I49" t="s">
        <v>2274</v>
      </c>
      <c r="J49" t="s">
        <v>568</v>
      </c>
      <c r="L49">
        <f t="shared" ca="1" si="1"/>
        <v>0.16174918711405206</v>
      </c>
      <c r="M49" t="s">
        <v>449</v>
      </c>
      <c r="N49" t="s">
        <v>2085</v>
      </c>
      <c r="O49" t="s">
        <v>2167</v>
      </c>
    </row>
    <row r="50" spans="1:15" x14ac:dyDescent="0.3">
      <c r="A50" t="s">
        <v>2030</v>
      </c>
      <c r="B50" t="s">
        <v>33</v>
      </c>
      <c r="C50" t="s">
        <v>114</v>
      </c>
      <c r="D50" t="s">
        <v>167</v>
      </c>
      <c r="E50" t="s">
        <v>273</v>
      </c>
      <c r="F50" t="s">
        <v>274</v>
      </c>
      <c r="G50" t="s">
        <v>254</v>
      </c>
      <c r="H50">
        <v>1857</v>
      </c>
      <c r="I50" t="s">
        <v>2273</v>
      </c>
      <c r="J50" t="s">
        <v>562</v>
      </c>
      <c r="L50">
        <f t="shared" ca="1" si="1"/>
        <v>0.66987272584545643</v>
      </c>
      <c r="M50" t="s">
        <v>452</v>
      </c>
      <c r="N50" t="s">
        <v>2083</v>
      </c>
      <c r="O50" t="s">
        <v>2165</v>
      </c>
    </row>
    <row r="51" spans="1:15" x14ac:dyDescent="0.3">
      <c r="A51" t="s">
        <v>218</v>
      </c>
      <c r="B51" t="s">
        <v>13</v>
      </c>
      <c r="C51" t="s">
        <v>97</v>
      </c>
      <c r="D51" t="s">
        <v>167</v>
      </c>
      <c r="E51" t="s">
        <v>13</v>
      </c>
      <c r="F51" t="s">
        <v>184</v>
      </c>
      <c r="G51" t="s">
        <v>169</v>
      </c>
      <c r="H51" t="s">
        <v>217</v>
      </c>
      <c r="I51" t="s">
        <v>2273</v>
      </c>
      <c r="J51" t="s">
        <v>177</v>
      </c>
      <c r="L51">
        <f t="shared" ca="1" si="1"/>
        <v>0.71546254021539468</v>
      </c>
      <c r="M51" t="s">
        <v>448</v>
      </c>
      <c r="N51" t="s">
        <v>2104</v>
      </c>
      <c r="O51" t="s">
        <v>2186</v>
      </c>
    </row>
    <row r="52" spans="1:15" x14ac:dyDescent="0.3">
      <c r="A52" t="s">
        <v>681</v>
      </c>
      <c r="B52" t="s">
        <v>25</v>
      </c>
      <c r="C52" t="s">
        <v>106</v>
      </c>
      <c r="D52" t="s">
        <v>162</v>
      </c>
      <c r="E52" t="s">
        <v>25</v>
      </c>
      <c r="G52" t="s">
        <v>246</v>
      </c>
      <c r="H52" t="s">
        <v>227</v>
      </c>
      <c r="I52" t="s">
        <v>176</v>
      </c>
      <c r="J52" t="s">
        <v>580</v>
      </c>
      <c r="L52">
        <f t="shared" ca="1" si="1"/>
        <v>0.7838133661136123</v>
      </c>
      <c r="M52" t="s">
        <v>247</v>
      </c>
      <c r="N52" t="s">
        <v>2087</v>
      </c>
      <c r="O52" t="s">
        <v>2169</v>
      </c>
    </row>
    <row r="53" spans="1:15" x14ac:dyDescent="0.3">
      <c r="A53" t="s">
        <v>680</v>
      </c>
      <c r="B53" t="s">
        <v>1</v>
      </c>
      <c r="C53" t="s">
        <v>84</v>
      </c>
      <c r="D53" t="s">
        <v>162</v>
      </c>
      <c r="E53" t="s">
        <v>497</v>
      </c>
      <c r="F53" t="s">
        <v>174</v>
      </c>
      <c r="G53" t="s">
        <v>169</v>
      </c>
      <c r="H53" t="s">
        <v>175</v>
      </c>
      <c r="I53" t="s">
        <v>176</v>
      </c>
      <c r="J53" t="s">
        <v>580</v>
      </c>
      <c r="L53">
        <f t="shared" ca="1" si="1"/>
        <v>9.4240209422097543E-2</v>
      </c>
      <c r="M53" t="s">
        <v>500</v>
      </c>
      <c r="N53" t="s">
        <v>2094</v>
      </c>
      <c r="O53" t="s">
        <v>2176</v>
      </c>
    </row>
    <row r="54" spans="1:15" x14ac:dyDescent="0.3">
      <c r="A54" t="s">
        <v>1357</v>
      </c>
      <c r="B54" t="s">
        <v>35</v>
      </c>
      <c r="C54" t="s">
        <v>116</v>
      </c>
      <c r="D54" t="s">
        <v>162</v>
      </c>
      <c r="E54" t="s">
        <v>280</v>
      </c>
      <c r="F54" t="s">
        <v>281</v>
      </c>
      <c r="G54" t="s">
        <v>169</v>
      </c>
      <c r="H54">
        <v>1776</v>
      </c>
      <c r="I54" t="s">
        <v>176</v>
      </c>
      <c r="J54" t="s">
        <v>560</v>
      </c>
      <c r="L54">
        <f t="shared" ca="1" si="1"/>
        <v>0.43790486172166199</v>
      </c>
      <c r="M54" t="s">
        <v>282</v>
      </c>
      <c r="N54" t="s">
        <v>2095</v>
      </c>
      <c r="O54" t="s">
        <v>2177</v>
      </c>
    </row>
    <row r="55" spans="1:15" x14ac:dyDescent="0.3">
      <c r="A55" t="s">
        <v>2023</v>
      </c>
      <c r="B55" t="s">
        <v>11</v>
      </c>
      <c r="C55" t="s">
        <v>95</v>
      </c>
      <c r="D55" t="s">
        <v>162</v>
      </c>
      <c r="E55" t="s">
        <v>11</v>
      </c>
      <c r="F55" t="s">
        <v>211</v>
      </c>
      <c r="G55" t="s">
        <v>190</v>
      </c>
      <c r="H55" t="s">
        <v>212</v>
      </c>
      <c r="I55" t="s">
        <v>176</v>
      </c>
      <c r="J55" t="s">
        <v>568</v>
      </c>
      <c r="L55">
        <f t="shared" ca="1" si="1"/>
        <v>0.97195812269803616</v>
      </c>
      <c r="M55" t="s">
        <v>501</v>
      </c>
      <c r="N55" t="s">
        <v>2070</v>
      </c>
      <c r="O55" t="s">
        <v>2152</v>
      </c>
    </row>
    <row r="56" spans="1:15" x14ac:dyDescent="0.3">
      <c r="A56" t="s">
        <v>2029</v>
      </c>
      <c r="B56" t="s">
        <v>72</v>
      </c>
      <c r="C56" t="s">
        <v>153</v>
      </c>
      <c r="D56" t="s">
        <v>412</v>
      </c>
      <c r="E56" t="s">
        <v>256</v>
      </c>
      <c r="F56" t="s">
        <v>171</v>
      </c>
      <c r="H56" t="s">
        <v>413</v>
      </c>
      <c r="I56" t="s">
        <v>176</v>
      </c>
      <c r="J56" t="s">
        <v>562</v>
      </c>
      <c r="L56">
        <f t="shared" ca="1" si="1"/>
        <v>0.41799413469492397</v>
      </c>
      <c r="M56" t="s">
        <v>414</v>
      </c>
      <c r="N56" t="s">
        <v>2126</v>
      </c>
      <c r="O56" t="s">
        <v>2208</v>
      </c>
    </row>
    <row r="57" spans="1:15" x14ac:dyDescent="0.3">
      <c r="A57" t="s">
        <v>472</v>
      </c>
      <c r="B57" t="s">
        <v>28</v>
      </c>
      <c r="C57" t="s">
        <v>109</v>
      </c>
      <c r="D57" t="s">
        <v>162</v>
      </c>
      <c r="E57" t="s">
        <v>256</v>
      </c>
      <c r="G57" t="s">
        <v>171</v>
      </c>
      <c r="H57" t="s">
        <v>257</v>
      </c>
      <c r="I57" t="s">
        <v>176</v>
      </c>
      <c r="J57" t="s">
        <v>177</v>
      </c>
      <c r="L57">
        <f t="shared" ca="1" si="1"/>
        <v>0.21788523775358948</v>
      </c>
      <c r="M57" t="s">
        <v>473</v>
      </c>
      <c r="N57" t="s">
        <v>2117</v>
      </c>
      <c r="O57" t="s">
        <v>2199</v>
      </c>
    </row>
    <row r="58" spans="1:15" x14ac:dyDescent="0.3">
      <c r="A58" t="s">
        <v>672</v>
      </c>
      <c r="B58" t="s">
        <v>27</v>
      </c>
      <c r="C58" t="s">
        <v>108</v>
      </c>
      <c r="D58" t="s">
        <v>162</v>
      </c>
      <c r="E58" t="s">
        <v>252</v>
      </c>
      <c r="F58" t="s">
        <v>253</v>
      </c>
      <c r="G58" t="s">
        <v>254</v>
      </c>
      <c r="H58" t="s">
        <v>255</v>
      </c>
      <c r="I58" t="s">
        <v>176</v>
      </c>
      <c r="J58" t="s">
        <v>601</v>
      </c>
      <c r="L58">
        <f t="shared" ca="1" si="1"/>
        <v>0.39827420312630657</v>
      </c>
      <c r="M58" t="s">
        <v>471</v>
      </c>
      <c r="N58" t="s">
        <v>2084</v>
      </c>
      <c r="O58" t="s">
        <v>2166</v>
      </c>
    </row>
    <row r="59" spans="1:15" x14ac:dyDescent="0.3">
      <c r="A59" t="s">
        <v>2024</v>
      </c>
      <c r="B59" t="s">
        <v>54</v>
      </c>
      <c r="C59" t="s">
        <v>135</v>
      </c>
      <c r="D59" t="s">
        <v>350</v>
      </c>
      <c r="E59" t="s">
        <v>461</v>
      </c>
      <c r="G59" t="s">
        <v>351</v>
      </c>
      <c r="H59" t="s">
        <v>462</v>
      </c>
      <c r="I59" t="s">
        <v>460</v>
      </c>
      <c r="J59" t="s">
        <v>568</v>
      </c>
      <c r="L59">
        <f t="shared" ca="1" si="1"/>
        <v>0.72460210128493219</v>
      </c>
      <c r="M59" t="s">
        <v>463</v>
      </c>
      <c r="N59" t="s">
        <v>2125</v>
      </c>
      <c r="O59" t="s">
        <v>2207</v>
      </c>
    </row>
    <row r="60" spans="1:15" x14ac:dyDescent="0.3">
      <c r="A60" t="s">
        <v>2034</v>
      </c>
      <c r="B60" t="s">
        <v>59</v>
      </c>
      <c r="C60" t="s">
        <v>140</v>
      </c>
      <c r="D60" t="s">
        <v>369</v>
      </c>
      <c r="E60" t="s">
        <v>457</v>
      </c>
      <c r="F60" t="s">
        <v>458</v>
      </c>
      <c r="G60" t="s">
        <v>459</v>
      </c>
      <c r="H60">
        <v>1782</v>
      </c>
      <c r="I60" t="s">
        <v>460</v>
      </c>
      <c r="J60" t="s">
        <v>517</v>
      </c>
      <c r="L60">
        <f t="shared" ca="1" si="1"/>
        <v>6.1554560502494748E-2</v>
      </c>
      <c r="M60" t="s">
        <v>370</v>
      </c>
      <c r="N60" t="s">
        <v>2106</v>
      </c>
      <c r="O60" t="s">
        <v>2188</v>
      </c>
    </row>
    <row r="61" spans="1:15" x14ac:dyDescent="0.3">
      <c r="A61" t="s">
        <v>2016</v>
      </c>
      <c r="B61" t="s">
        <v>38</v>
      </c>
      <c r="C61" t="s">
        <v>119</v>
      </c>
      <c r="D61" t="s">
        <v>162</v>
      </c>
      <c r="E61" t="s">
        <v>292</v>
      </c>
      <c r="F61" t="s">
        <v>293</v>
      </c>
      <c r="G61" t="s">
        <v>169</v>
      </c>
      <c r="H61">
        <v>1786</v>
      </c>
      <c r="I61" t="s">
        <v>294</v>
      </c>
      <c r="J61" t="s">
        <v>531</v>
      </c>
      <c r="L61">
        <f t="shared" ca="1" si="1"/>
        <v>0.80523115222198427</v>
      </c>
      <c r="M61" t="s">
        <v>295</v>
      </c>
      <c r="N61" t="s">
        <v>2096</v>
      </c>
      <c r="O61" t="s">
        <v>2178</v>
      </c>
    </row>
    <row r="62" spans="1:15" x14ac:dyDescent="0.3">
      <c r="A62" t="s">
        <v>2041</v>
      </c>
      <c r="B62" t="s">
        <v>79</v>
      </c>
      <c r="C62" t="s">
        <v>160</v>
      </c>
      <c r="D62" t="s">
        <v>162</v>
      </c>
      <c r="E62" t="s">
        <v>433</v>
      </c>
      <c r="F62" t="s">
        <v>434</v>
      </c>
      <c r="G62" t="s">
        <v>190</v>
      </c>
      <c r="H62">
        <v>1749</v>
      </c>
      <c r="I62" t="s">
        <v>435</v>
      </c>
      <c r="J62" t="s">
        <v>528</v>
      </c>
      <c r="L62">
        <f t="shared" ca="1" si="1"/>
        <v>0.97981824646836513</v>
      </c>
      <c r="M62" t="s">
        <v>436</v>
      </c>
      <c r="N62" t="s">
        <v>2073</v>
      </c>
      <c r="O62" t="s">
        <v>2155</v>
      </c>
    </row>
    <row r="63" spans="1:15" x14ac:dyDescent="0.3">
      <c r="A63" t="s">
        <v>679</v>
      </c>
      <c r="B63" t="s">
        <v>71</v>
      </c>
      <c r="C63" t="s">
        <v>152</v>
      </c>
      <c r="D63" t="s">
        <v>162</v>
      </c>
      <c r="E63" t="s">
        <v>409</v>
      </c>
      <c r="G63" t="s">
        <v>297</v>
      </c>
      <c r="H63" t="s">
        <v>410</v>
      </c>
      <c r="I63" t="s">
        <v>411</v>
      </c>
      <c r="J63" t="s">
        <v>590</v>
      </c>
      <c r="L63">
        <f t="shared" ca="1" si="1"/>
        <v>0.98716132611093965</v>
      </c>
      <c r="M63" t="s">
        <v>492</v>
      </c>
      <c r="N63" t="s">
        <v>2055</v>
      </c>
      <c r="O63" t="s">
        <v>2137</v>
      </c>
    </row>
    <row r="64" spans="1:15" x14ac:dyDescent="0.3">
      <c r="A64" t="s">
        <v>2015</v>
      </c>
      <c r="B64" t="s">
        <v>63</v>
      </c>
      <c r="C64" t="s">
        <v>144</v>
      </c>
      <c r="D64" t="s">
        <v>162</v>
      </c>
      <c r="E64" t="s">
        <v>384</v>
      </c>
      <c r="F64" t="s">
        <v>385</v>
      </c>
      <c r="G64" t="s">
        <v>386</v>
      </c>
      <c r="H64">
        <v>1998</v>
      </c>
      <c r="I64" t="s">
        <v>173</v>
      </c>
      <c r="J64" t="s">
        <v>531</v>
      </c>
      <c r="L64">
        <f t="shared" ca="1" si="1"/>
        <v>0.34770409841012362</v>
      </c>
      <c r="M64" t="s">
        <v>487</v>
      </c>
      <c r="N64" t="s">
        <v>2046</v>
      </c>
      <c r="O64" t="s">
        <v>2128</v>
      </c>
    </row>
    <row r="65" spans="1:15" x14ac:dyDescent="0.3">
      <c r="A65">
        <v>10023</v>
      </c>
      <c r="B65" t="s">
        <v>17</v>
      </c>
      <c r="C65" t="s">
        <v>83</v>
      </c>
      <c r="D65" t="s">
        <v>162</v>
      </c>
      <c r="E65" t="s">
        <v>170</v>
      </c>
      <c r="G65" t="s">
        <v>171</v>
      </c>
      <c r="H65" t="s">
        <v>172</v>
      </c>
      <c r="I65" t="s">
        <v>173</v>
      </c>
      <c r="J65" t="s">
        <v>546</v>
      </c>
      <c r="L65">
        <f t="shared" ca="1" si="1"/>
        <v>0.63739602239041737</v>
      </c>
      <c r="M65" t="s">
        <v>465</v>
      </c>
      <c r="N65" t="s">
        <v>2120</v>
      </c>
      <c r="O65" t="s">
        <v>2202</v>
      </c>
    </row>
    <row r="66" spans="1:15" x14ac:dyDescent="0.3">
      <c r="A66" t="s">
        <v>2037</v>
      </c>
      <c r="B66" t="s">
        <v>31</v>
      </c>
      <c r="C66" t="s">
        <v>112</v>
      </c>
      <c r="D66" t="s">
        <v>162</v>
      </c>
      <c r="E66" t="s">
        <v>264</v>
      </c>
      <c r="F66" t="s">
        <v>265</v>
      </c>
      <c r="G66" t="s">
        <v>169</v>
      </c>
      <c r="H66">
        <v>1824</v>
      </c>
      <c r="I66" t="s">
        <v>266</v>
      </c>
      <c r="J66" t="s">
        <v>517</v>
      </c>
      <c r="L66">
        <f t="shared" ref="L66:L82" ca="1" si="2">RAND()</f>
        <v>0.53364595230798484</v>
      </c>
      <c r="M66" t="s">
        <v>267</v>
      </c>
      <c r="N66" t="s">
        <v>2099</v>
      </c>
      <c r="O66" t="s">
        <v>2181</v>
      </c>
    </row>
    <row r="67" spans="1:15" x14ac:dyDescent="0.3">
      <c r="A67" t="s">
        <v>2018</v>
      </c>
      <c r="B67" t="s">
        <v>77</v>
      </c>
      <c r="C67" t="s">
        <v>158</v>
      </c>
      <c r="D67" t="s">
        <v>162</v>
      </c>
      <c r="E67" t="s">
        <v>428</v>
      </c>
      <c r="F67" t="s">
        <v>429</v>
      </c>
      <c r="G67" t="s">
        <v>169</v>
      </c>
      <c r="H67" t="s">
        <v>430</v>
      </c>
      <c r="I67" t="s">
        <v>423</v>
      </c>
      <c r="J67" t="s">
        <v>531</v>
      </c>
      <c r="L67">
        <f t="shared" ca="1" si="2"/>
        <v>0.32318577443760454</v>
      </c>
      <c r="M67" t="s">
        <v>495</v>
      </c>
      <c r="N67" t="s">
        <v>2097</v>
      </c>
      <c r="O67" t="s">
        <v>2179</v>
      </c>
    </row>
    <row r="68" spans="1:15" x14ac:dyDescent="0.3">
      <c r="A68" t="s">
        <v>665</v>
      </c>
      <c r="B68" t="s">
        <v>75</v>
      </c>
      <c r="C68" t="s">
        <v>156</v>
      </c>
      <c r="D68" t="s">
        <v>162</v>
      </c>
      <c r="E68" t="s">
        <v>421</v>
      </c>
      <c r="F68" t="s">
        <v>422</v>
      </c>
      <c r="G68" t="s">
        <v>190</v>
      </c>
      <c r="H68" t="s">
        <v>225</v>
      </c>
      <c r="I68" t="s">
        <v>423</v>
      </c>
      <c r="J68" t="s">
        <v>574</v>
      </c>
      <c r="L68">
        <f t="shared" ca="1" si="2"/>
        <v>0.98569215613951078</v>
      </c>
      <c r="M68" t="s">
        <v>494</v>
      </c>
      <c r="N68" t="s">
        <v>2075</v>
      </c>
      <c r="O68" t="s">
        <v>2157</v>
      </c>
    </row>
    <row r="69" spans="1:15" x14ac:dyDescent="0.3">
      <c r="A69" t="s">
        <v>2017</v>
      </c>
      <c r="B69" t="s">
        <v>65</v>
      </c>
      <c r="C69" t="s">
        <v>146</v>
      </c>
      <c r="D69" t="s">
        <v>162</v>
      </c>
      <c r="E69" t="s">
        <v>342</v>
      </c>
      <c r="F69" t="s">
        <v>510</v>
      </c>
      <c r="G69" t="s">
        <v>190</v>
      </c>
      <c r="H69" t="s">
        <v>392</v>
      </c>
      <c r="I69" t="s">
        <v>393</v>
      </c>
      <c r="J69" t="s">
        <v>531</v>
      </c>
      <c r="L69">
        <f t="shared" ca="1" si="2"/>
        <v>0.36799429378727866</v>
      </c>
      <c r="M69" t="s">
        <v>394</v>
      </c>
      <c r="N69" t="s">
        <v>2068</v>
      </c>
      <c r="O69" t="s">
        <v>2150</v>
      </c>
    </row>
    <row r="70" spans="1:15" x14ac:dyDescent="0.3">
      <c r="A70" t="s">
        <v>683</v>
      </c>
      <c r="B70" t="s">
        <v>47</v>
      </c>
      <c r="C70" t="s">
        <v>128</v>
      </c>
      <c r="D70" t="s">
        <v>162</v>
      </c>
      <c r="E70" t="s">
        <v>287</v>
      </c>
      <c r="F70" t="s">
        <v>329</v>
      </c>
      <c r="G70" t="s">
        <v>330</v>
      </c>
      <c r="H70" t="s">
        <v>331</v>
      </c>
      <c r="I70" t="s">
        <v>332</v>
      </c>
      <c r="J70" t="s">
        <v>535</v>
      </c>
      <c r="L70">
        <f t="shared" ca="1" si="2"/>
        <v>0.61407361855723885</v>
      </c>
      <c r="M70" t="s">
        <v>333</v>
      </c>
      <c r="N70" t="s">
        <v>2082</v>
      </c>
      <c r="O70" t="s">
        <v>2164</v>
      </c>
    </row>
    <row r="71" spans="1:15" x14ac:dyDescent="0.3">
      <c r="A71" t="s">
        <v>667</v>
      </c>
      <c r="B71" t="s">
        <v>48</v>
      </c>
      <c r="C71" t="s">
        <v>129</v>
      </c>
      <c r="D71" t="s">
        <v>162</v>
      </c>
      <c r="E71" t="s">
        <v>287</v>
      </c>
      <c r="G71" t="s">
        <v>335</v>
      </c>
      <c r="H71" t="s">
        <v>334</v>
      </c>
      <c r="I71" t="s">
        <v>336</v>
      </c>
      <c r="J71" t="s">
        <v>574</v>
      </c>
      <c r="L71">
        <f t="shared" ca="1" si="2"/>
        <v>0.33767118670423113</v>
      </c>
      <c r="M71" t="s">
        <v>504</v>
      </c>
      <c r="N71" t="s">
        <v>2057</v>
      </c>
      <c r="O71" t="s">
        <v>2139</v>
      </c>
    </row>
    <row r="72" spans="1:15" x14ac:dyDescent="0.3">
      <c r="A72" t="s">
        <v>664</v>
      </c>
      <c r="B72" t="s">
        <v>37</v>
      </c>
      <c r="C72" t="s">
        <v>118</v>
      </c>
      <c r="D72" t="s">
        <v>162</v>
      </c>
      <c r="E72" t="s">
        <v>287</v>
      </c>
      <c r="F72" t="s">
        <v>288</v>
      </c>
      <c r="G72" t="s">
        <v>289</v>
      </c>
      <c r="H72" t="s">
        <v>290</v>
      </c>
      <c r="I72" t="s">
        <v>291</v>
      </c>
      <c r="J72" t="s">
        <v>574</v>
      </c>
      <c r="L72">
        <f t="shared" ca="1" si="2"/>
        <v>0.54617575295276943</v>
      </c>
      <c r="M72" t="s">
        <v>475</v>
      </c>
      <c r="N72" t="s">
        <v>2091</v>
      </c>
      <c r="O72" t="s">
        <v>2173</v>
      </c>
    </row>
    <row r="73" spans="1:15" x14ac:dyDescent="0.3">
      <c r="A73" t="s">
        <v>285</v>
      </c>
      <c r="B73" t="s">
        <v>36</v>
      </c>
      <c r="C73" t="s">
        <v>117</v>
      </c>
      <c r="D73" t="s">
        <v>167</v>
      </c>
      <c r="E73" t="s">
        <v>258</v>
      </c>
      <c r="F73" t="s">
        <v>283</v>
      </c>
      <c r="G73" t="s">
        <v>169</v>
      </c>
      <c r="H73">
        <v>1817</v>
      </c>
      <c r="I73" t="s">
        <v>284</v>
      </c>
      <c r="J73" t="s">
        <v>177</v>
      </c>
      <c r="L73">
        <f t="shared" ca="1" si="2"/>
        <v>0.7206478690154059</v>
      </c>
      <c r="M73" t="s">
        <v>286</v>
      </c>
      <c r="N73" t="s">
        <v>2101</v>
      </c>
      <c r="O73" t="s">
        <v>2183</v>
      </c>
    </row>
    <row r="74" spans="1:15" x14ac:dyDescent="0.3">
      <c r="A74" t="s">
        <v>2033</v>
      </c>
      <c r="B74" t="s">
        <v>4</v>
      </c>
      <c r="C74" t="s">
        <v>87</v>
      </c>
      <c r="D74" t="s">
        <v>162</v>
      </c>
      <c r="E74" t="s">
        <v>181</v>
      </c>
      <c r="G74" t="s">
        <v>182</v>
      </c>
      <c r="H74" t="s">
        <v>183</v>
      </c>
      <c r="I74" t="s">
        <v>466</v>
      </c>
      <c r="J74" t="s">
        <v>562</v>
      </c>
      <c r="L74">
        <f t="shared" ca="1" si="2"/>
        <v>0.34269628328887403</v>
      </c>
      <c r="M74" t="s">
        <v>498</v>
      </c>
      <c r="N74" t="s">
        <v>2065</v>
      </c>
      <c r="O74" t="s">
        <v>2147</v>
      </c>
    </row>
    <row r="75" spans="1:15" x14ac:dyDescent="0.3">
      <c r="A75" t="s">
        <v>2035</v>
      </c>
      <c r="B75" t="s">
        <v>7</v>
      </c>
      <c r="C75" t="s">
        <v>91</v>
      </c>
      <c r="D75" t="s">
        <v>167</v>
      </c>
      <c r="E75" t="s">
        <v>7</v>
      </c>
      <c r="F75" t="s">
        <v>196</v>
      </c>
      <c r="G75" t="s">
        <v>197</v>
      </c>
      <c r="H75">
        <v>1782</v>
      </c>
      <c r="I75" t="s">
        <v>198</v>
      </c>
      <c r="J75" t="s">
        <v>517</v>
      </c>
      <c r="L75">
        <f t="shared" ca="1" si="2"/>
        <v>0.22847230641836613</v>
      </c>
      <c r="M75" t="s">
        <v>447</v>
      </c>
      <c r="N75" t="s">
        <v>2121</v>
      </c>
      <c r="O75" t="s">
        <v>2203</v>
      </c>
    </row>
    <row r="76" spans="1:15" x14ac:dyDescent="0.3">
      <c r="A76" t="s">
        <v>1371</v>
      </c>
      <c r="B76" t="s">
        <v>45</v>
      </c>
      <c r="C76" t="s">
        <v>126</v>
      </c>
      <c r="D76" t="s">
        <v>167</v>
      </c>
      <c r="E76" t="s">
        <v>322</v>
      </c>
      <c r="F76" t="s">
        <v>2277</v>
      </c>
      <c r="G76" t="s">
        <v>323</v>
      </c>
      <c r="H76" t="s">
        <v>2280</v>
      </c>
      <c r="I76" t="s">
        <v>324</v>
      </c>
      <c r="J76" t="s">
        <v>560</v>
      </c>
      <c r="L76">
        <f t="shared" ca="1" si="2"/>
        <v>0.41014007150273701</v>
      </c>
      <c r="M76" t="s">
        <v>453</v>
      </c>
      <c r="N76" t="s">
        <v>2062</v>
      </c>
      <c r="O76" t="s">
        <v>2144</v>
      </c>
    </row>
    <row r="77" spans="1:15" x14ac:dyDescent="0.3">
      <c r="A77" t="s">
        <v>278</v>
      </c>
      <c r="B77" t="s">
        <v>34</v>
      </c>
      <c r="C77" t="s">
        <v>115</v>
      </c>
      <c r="D77" t="s">
        <v>162</v>
      </c>
      <c r="E77" t="s">
        <v>275</v>
      </c>
      <c r="G77" t="s">
        <v>169</v>
      </c>
      <c r="H77" t="s">
        <v>276</v>
      </c>
      <c r="I77" t="s">
        <v>277</v>
      </c>
      <c r="J77" t="s">
        <v>177</v>
      </c>
      <c r="L77">
        <f t="shared" ca="1" si="2"/>
        <v>0.37874300944061157</v>
      </c>
      <c r="M77" t="s">
        <v>279</v>
      </c>
      <c r="N77" t="s">
        <v>2102</v>
      </c>
      <c r="O77" t="s">
        <v>2184</v>
      </c>
    </row>
    <row r="78" spans="1:15" x14ac:dyDescent="0.3">
      <c r="A78" t="s">
        <v>670</v>
      </c>
      <c r="B78" t="s">
        <v>15</v>
      </c>
      <c r="C78" t="s">
        <v>100</v>
      </c>
      <c r="D78" t="s">
        <v>162</v>
      </c>
      <c r="E78" t="s">
        <v>226</v>
      </c>
      <c r="G78" t="s">
        <v>171</v>
      </c>
      <c r="H78" t="s">
        <v>227</v>
      </c>
      <c r="I78" t="s">
        <v>2275</v>
      </c>
      <c r="J78" t="s">
        <v>574</v>
      </c>
      <c r="L78">
        <f t="shared" ca="1" si="2"/>
        <v>0.94185660573764152</v>
      </c>
      <c r="M78" t="s">
        <v>470</v>
      </c>
      <c r="N78" t="s">
        <v>2118</v>
      </c>
      <c r="O78" t="s">
        <v>2200</v>
      </c>
    </row>
    <row r="79" spans="1:15" x14ac:dyDescent="0.3">
      <c r="A79" t="s">
        <v>307</v>
      </c>
      <c r="B79" t="s">
        <v>41</v>
      </c>
      <c r="C79" t="s">
        <v>122</v>
      </c>
      <c r="D79" t="s">
        <v>162</v>
      </c>
      <c r="E79" t="s">
        <v>304</v>
      </c>
      <c r="G79" t="s">
        <v>476</v>
      </c>
      <c r="H79" t="s">
        <v>305</v>
      </c>
      <c r="I79" t="s">
        <v>306</v>
      </c>
      <c r="J79" t="s">
        <v>177</v>
      </c>
      <c r="L79">
        <f t="shared" ca="1" si="2"/>
        <v>0.25416310908966433</v>
      </c>
      <c r="M79" t="s">
        <v>477</v>
      </c>
      <c r="N79" t="s">
        <v>2110</v>
      </c>
      <c r="O79" t="s">
        <v>2192</v>
      </c>
    </row>
    <row r="80" spans="1:15" x14ac:dyDescent="0.3">
      <c r="A80" t="s">
        <v>1363</v>
      </c>
      <c r="B80" t="s">
        <v>78</v>
      </c>
      <c r="C80" t="s">
        <v>159</v>
      </c>
      <c r="D80" t="s">
        <v>162</v>
      </c>
      <c r="E80" t="s">
        <v>232</v>
      </c>
      <c r="F80" t="s">
        <v>2278</v>
      </c>
      <c r="G80" t="s">
        <v>190</v>
      </c>
      <c r="H80" t="s">
        <v>331</v>
      </c>
      <c r="I80" t="s">
        <v>431</v>
      </c>
      <c r="J80" t="s">
        <v>560</v>
      </c>
      <c r="L80">
        <f t="shared" ca="1" si="2"/>
        <v>0.7721289646849705</v>
      </c>
      <c r="M80" t="s">
        <v>432</v>
      </c>
      <c r="N80" t="s">
        <v>2067</v>
      </c>
      <c r="O80" t="s">
        <v>2149</v>
      </c>
    </row>
    <row r="81" spans="1:15" x14ac:dyDescent="0.3">
      <c r="A81" t="s">
        <v>776</v>
      </c>
      <c r="B81" t="s">
        <v>10</v>
      </c>
      <c r="C81" t="s">
        <v>94</v>
      </c>
      <c r="D81" t="s">
        <v>162</v>
      </c>
      <c r="E81" t="s">
        <v>206</v>
      </c>
      <c r="F81" t="s">
        <v>207</v>
      </c>
      <c r="G81" t="s">
        <v>208</v>
      </c>
      <c r="H81">
        <v>1740</v>
      </c>
      <c r="I81" t="s">
        <v>209</v>
      </c>
      <c r="J81" t="s">
        <v>554</v>
      </c>
      <c r="L81">
        <f t="shared" ca="1" si="2"/>
        <v>0.59385159892608197</v>
      </c>
      <c r="M81" t="s">
        <v>210</v>
      </c>
      <c r="N81" t="s">
        <v>2114</v>
      </c>
      <c r="O81" t="s">
        <v>2196</v>
      </c>
    </row>
    <row r="82" spans="1:15" x14ac:dyDescent="0.3">
      <c r="A82" t="s">
        <v>668</v>
      </c>
      <c r="B82" t="s">
        <v>42</v>
      </c>
      <c r="C82" t="s">
        <v>123</v>
      </c>
      <c r="D82" t="s">
        <v>162</v>
      </c>
      <c r="E82" t="s">
        <v>308</v>
      </c>
      <c r="G82" t="s">
        <v>309</v>
      </c>
      <c r="H82">
        <v>1776</v>
      </c>
      <c r="I82" t="s">
        <v>310</v>
      </c>
      <c r="J82" t="s">
        <v>574</v>
      </c>
      <c r="L82">
        <f t="shared" ca="1" si="2"/>
        <v>0.50520974045140787</v>
      </c>
      <c r="M82" t="s">
        <v>311</v>
      </c>
      <c r="N82" t="s">
        <v>2079</v>
      </c>
      <c r="O82" t="s">
        <v>2161</v>
      </c>
    </row>
  </sheetData>
  <phoneticPr fontId="3"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1CAEFA8-05BD-4397-8444-EC65C366A7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item</vt:lpstr>
      <vt:lpstr>Owners</vt:lpstr>
      <vt:lpstr>insurance</vt:lpstr>
      <vt:lpstr>Sheet8</vt:lpstr>
      <vt:lpstr>data</vt:lpstr>
      <vt:lpstr>Sheet1</vt:lpstr>
      <vt:lpstr>Sheet2</vt:lpstr>
      <vt:lpstr>printers</vt:lpstr>
      <vt:lpstr>blurbs</vt:lpstr>
      <vt:lpstr>Sheet4</vt:lpstr>
      <vt:lpstr>items</vt:lpstr>
      <vt:lpstr>data!localWebPageAgentFile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gallen2</dc:creator>
  <cp:lastModifiedBy>Gove</cp:lastModifiedBy>
  <dcterms:created xsi:type="dcterms:W3CDTF">2012-03-12T19:43:49Z</dcterms:created>
  <dcterms:modified xsi:type="dcterms:W3CDTF">2023-06-05T19:19:43Z</dcterms:modified>
</cp:coreProperties>
</file>